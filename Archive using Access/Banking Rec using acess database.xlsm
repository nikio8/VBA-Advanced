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pivotTables/pivotTable1.xml" ContentType="application/vnd.openxmlformats-officedocument.spreadsheetml.pivotTable+xml"/>
  <Override PartName="/xl/drawings/drawing5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iksh_vf4ongq\Desktop\Archive using Access\"/>
    </mc:Choice>
  </mc:AlternateContent>
  <xr:revisionPtr revIDLastSave="0" documentId="13_ncr:1_{4590E669-E428-4ADF-B140-5913E7A90203}" xr6:coauthVersionLast="45" xr6:coauthVersionMax="45" xr10:uidLastSave="{00000000-0000-0000-0000-000000000000}"/>
  <bookViews>
    <workbookView xWindow="-120" yWindow="-120" windowWidth="38640" windowHeight="21240" activeTab="7" xr2:uid="{00000000-000D-0000-FFFF-FFFF00000000}"/>
  </bookViews>
  <sheets>
    <sheet name="Summary" sheetId="1" r:id="rId1"/>
    <sheet name="StoreEOD" sheetId="5" r:id="rId2"/>
    <sheet name="CashTakingSecurity" sheetId="2" r:id="rId3"/>
    <sheet name="FuelBP" sheetId="4" r:id="rId4"/>
    <sheet name="BankStatement" sheetId="3" r:id="rId5"/>
    <sheet name="PivotTable-Created using VBA" sheetId="9" r:id="rId6"/>
    <sheet name="CStoreCodes" sheetId="7" r:id="rId7"/>
    <sheet name="CFinCodes" sheetId="8" r:id="rId8"/>
  </sheets>
  <definedNames>
    <definedName name="_xlnm._FilterDatabase" localSheetId="4" hidden="1">BankStatement!$A$1:$J$18</definedName>
    <definedName name="_xlnm._FilterDatabase" localSheetId="2" hidden="1">CashTakingSecurity!$A$1:$G$17</definedName>
    <definedName name="_xlnm._FilterDatabase" localSheetId="7" hidden="1">CFinCodes!$A$1:$C$2</definedName>
    <definedName name="_xlnm._FilterDatabase" localSheetId="6" hidden="1">CStoreCodes!$A$1:$E$5</definedName>
    <definedName name="_xlnm._FilterDatabase" localSheetId="3" hidden="1">FuelBP!$A$1:$G$17</definedName>
    <definedName name="_xlnm._FilterDatabase" localSheetId="1" hidden="1">StoreEOD!$A$1:$E$21</definedName>
  </definedNames>
  <calcPr calcId="191029"/>
  <pivotCaches>
    <pivotCache cacheId="10" r:id="rId9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6" i="4" l="1"/>
  <c r="F6" i="4"/>
  <c r="G6" i="4"/>
  <c r="E7" i="4"/>
  <c r="F7" i="4"/>
  <c r="G7" i="4"/>
  <c r="E8" i="4"/>
  <c r="F8" i="4"/>
  <c r="G8" i="4"/>
  <c r="E9" i="4"/>
  <c r="F9" i="4"/>
  <c r="G9" i="4"/>
  <c r="E10" i="4"/>
  <c r="F10" i="4"/>
  <c r="G10" i="4"/>
  <c r="E11" i="4"/>
  <c r="F11" i="4"/>
  <c r="G11" i="4"/>
  <c r="E12" i="4"/>
  <c r="F12" i="4"/>
  <c r="G12" i="4"/>
  <c r="E13" i="4"/>
  <c r="F13" i="4"/>
  <c r="G13" i="4"/>
  <c r="E14" i="4"/>
  <c r="F14" i="4"/>
  <c r="G14" i="4"/>
  <c r="E15" i="4"/>
  <c r="F15" i="4"/>
  <c r="G15" i="4"/>
  <c r="E16" i="4"/>
  <c r="F16" i="4"/>
  <c r="G16" i="4"/>
  <c r="E17" i="4"/>
  <c r="F17" i="4"/>
  <c r="G17" i="4"/>
  <c r="K8" i="1" l="1"/>
  <c r="K9" i="1" s="1"/>
  <c r="K10" i="1" s="1"/>
  <c r="K11" i="1" s="1"/>
  <c r="K12" i="1" s="1"/>
  <c r="K13" i="1" s="1"/>
  <c r="K14" i="1" s="1"/>
  <c r="H8" i="1"/>
  <c r="H9" i="1" s="1"/>
  <c r="H10" i="1" s="1"/>
  <c r="H11" i="1" s="1"/>
  <c r="H12" i="1" s="1"/>
  <c r="H13" i="1" s="1"/>
  <c r="H14" i="1" s="1"/>
  <c r="E8" i="1"/>
  <c r="E9" i="1" s="1"/>
  <c r="E10" i="1" s="1"/>
  <c r="E11" i="1" s="1"/>
  <c r="E12" i="1" s="1"/>
  <c r="E13" i="1" s="1"/>
  <c r="E14" i="1" s="1"/>
  <c r="E6" i="2"/>
  <c r="F6" i="2"/>
  <c r="G6" i="2"/>
  <c r="E7" i="2"/>
  <c r="F7" i="2"/>
  <c r="G7" i="2"/>
  <c r="E8" i="2"/>
  <c r="F8" i="2"/>
  <c r="G8" i="2"/>
  <c r="E9" i="2"/>
  <c r="F9" i="2"/>
  <c r="G9" i="2"/>
  <c r="E10" i="2"/>
  <c r="F10" i="2"/>
  <c r="G10" i="2"/>
  <c r="E11" i="2"/>
  <c r="F11" i="2"/>
  <c r="G11" i="2"/>
  <c r="E12" i="2"/>
  <c r="F12" i="2"/>
  <c r="G12" i="2"/>
  <c r="E13" i="2"/>
  <c r="F13" i="2"/>
  <c r="G13" i="2"/>
  <c r="E14" i="2"/>
  <c r="F14" i="2"/>
  <c r="G14" i="2"/>
  <c r="E15" i="2"/>
  <c r="F15" i="2"/>
  <c r="G15" i="2"/>
  <c r="E16" i="2"/>
  <c r="F16" i="2"/>
  <c r="G16" i="2"/>
  <c r="E17" i="2"/>
  <c r="F17" i="2"/>
  <c r="G17" i="2"/>
  <c r="F3" i="2" l="1"/>
  <c r="F4" i="2"/>
  <c r="F5" i="2"/>
  <c r="F2" i="2"/>
  <c r="G5" i="2"/>
  <c r="E5" i="2"/>
  <c r="G4" i="2"/>
  <c r="E4" i="2"/>
  <c r="G3" i="2"/>
  <c r="E3" i="2"/>
  <c r="G2" i="2"/>
  <c r="E2" i="2"/>
  <c r="G2" i="4"/>
  <c r="E6" i="3"/>
  <c r="F6" i="3"/>
  <c r="G6" i="3" s="1"/>
  <c r="H6" i="3"/>
  <c r="I6" i="3" s="1"/>
  <c r="J6" i="3"/>
  <c r="E7" i="3"/>
  <c r="F7" i="3"/>
  <c r="G7" i="3" s="1"/>
  <c r="H7" i="3"/>
  <c r="I7" i="3" s="1"/>
  <c r="J7" i="3"/>
  <c r="E8" i="3"/>
  <c r="F8" i="3"/>
  <c r="G8" i="3" s="1"/>
  <c r="H8" i="3"/>
  <c r="I8" i="3" s="1"/>
  <c r="J8" i="3"/>
  <c r="E9" i="3"/>
  <c r="F9" i="3"/>
  <c r="G9" i="3" s="1"/>
  <c r="H9" i="3"/>
  <c r="I9" i="3" s="1"/>
  <c r="J9" i="3"/>
  <c r="E10" i="3"/>
  <c r="F10" i="3"/>
  <c r="G10" i="3" s="1"/>
  <c r="H10" i="3"/>
  <c r="I10" i="3" s="1"/>
  <c r="J10" i="3"/>
  <c r="E11" i="3"/>
  <c r="F11" i="3"/>
  <c r="G11" i="3" s="1"/>
  <c r="H11" i="3"/>
  <c r="I11" i="3" s="1"/>
  <c r="J11" i="3"/>
  <c r="E12" i="3"/>
  <c r="F12" i="3"/>
  <c r="G12" i="3" s="1"/>
  <c r="H12" i="3"/>
  <c r="I12" i="3" s="1"/>
  <c r="J12" i="3"/>
  <c r="E13" i="3"/>
  <c r="F13" i="3"/>
  <c r="G13" i="3" s="1"/>
  <c r="H13" i="3"/>
  <c r="I13" i="3" s="1"/>
  <c r="J13" i="3"/>
  <c r="E14" i="3"/>
  <c r="F14" i="3"/>
  <c r="G14" i="3" s="1"/>
  <c r="H14" i="3"/>
  <c r="I14" i="3" s="1"/>
  <c r="J14" i="3"/>
  <c r="E15" i="3"/>
  <c r="F15" i="3"/>
  <c r="G15" i="3" s="1"/>
  <c r="H15" i="3"/>
  <c r="I15" i="3" s="1"/>
  <c r="J15" i="3"/>
  <c r="E16" i="3"/>
  <c r="F16" i="3"/>
  <c r="G16" i="3" s="1"/>
  <c r="H16" i="3"/>
  <c r="I16" i="3" s="1"/>
  <c r="J16" i="3"/>
  <c r="E17" i="3"/>
  <c r="F17" i="3"/>
  <c r="G17" i="3" s="1"/>
  <c r="H17" i="3"/>
  <c r="I17" i="3" s="1"/>
  <c r="J17" i="3"/>
  <c r="F3" i="4"/>
  <c r="F4" i="4"/>
  <c r="F5" i="4"/>
  <c r="F2" i="4"/>
  <c r="G5" i="4"/>
  <c r="E5" i="4"/>
  <c r="G4" i="4"/>
  <c r="E4" i="4"/>
  <c r="G3" i="4"/>
  <c r="E3" i="4"/>
  <c r="E2" i="4"/>
  <c r="E3" i="3"/>
  <c r="E4" i="3"/>
  <c r="E5" i="3"/>
  <c r="E2" i="3"/>
  <c r="N4" i="3"/>
  <c r="N5" i="3"/>
  <c r="N6" i="3"/>
  <c r="N7" i="3"/>
  <c r="N8" i="3"/>
  <c r="N9" i="3"/>
  <c r="N10" i="3"/>
  <c r="N11" i="3"/>
  <c r="N12" i="3"/>
  <c r="N3" i="3"/>
  <c r="J3" i="3"/>
  <c r="J4" i="3"/>
  <c r="J5" i="3"/>
  <c r="J2" i="3"/>
  <c r="H3" i="3"/>
  <c r="I3" i="3" s="1"/>
  <c r="H4" i="3"/>
  <c r="I4" i="3" s="1"/>
  <c r="H5" i="3"/>
  <c r="I5" i="3" s="1"/>
  <c r="H2" i="3"/>
  <c r="I2" i="3" s="1"/>
  <c r="F3" i="3"/>
  <c r="G3" i="3" s="1"/>
  <c r="F4" i="3"/>
  <c r="G4" i="3" s="1"/>
  <c r="F5" i="3"/>
  <c r="G5" i="3" s="1"/>
  <c r="F2" i="3"/>
  <c r="G2" i="3" s="1"/>
</calcChain>
</file>

<file path=xl/sharedStrings.xml><?xml version="1.0" encoding="utf-8"?>
<sst xmlns="http://schemas.openxmlformats.org/spreadsheetml/2006/main" count="449" uniqueCount="77">
  <si>
    <t>Summary page</t>
  </si>
  <si>
    <t>Cash from stores</t>
  </si>
  <si>
    <t>Eftpos from bank</t>
  </si>
  <si>
    <t>Eftpos from Store</t>
  </si>
  <si>
    <t>Date</t>
  </si>
  <si>
    <t>StoreName</t>
  </si>
  <si>
    <t>Amount</t>
  </si>
  <si>
    <t>StoreA</t>
  </si>
  <si>
    <t>Cash</t>
  </si>
  <si>
    <t>EFTPOS</t>
  </si>
  <si>
    <t>BP</t>
  </si>
  <si>
    <t>StoreB</t>
  </si>
  <si>
    <t>StoreC</t>
  </si>
  <si>
    <t>StoreD</t>
  </si>
  <si>
    <t>Store Name</t>
  </si>
  <si>
    <t>Date range</t>
  </si>
  <si>
    <t>From</t>
  </si>
  <si>
    <t>To</t>
  </si>
  <si>
    <t>Bank ID</t>
  </si>
  <si>
    <t>SecurityCash ID</t>
  </si>
  <si>
    <t>FuelBP ID</t>
  </si>
  <si>
    <t>Store code</t>
  </si>
  <si>
    <t>A1</t>
  </si>
  <si>
    <t>B1</t>
  </si>
  <si>
    <t>C1</t>
  </si>
  <si>
    <t>D1</t>
  </si>
  <si>
    <t>A001</t>
  </si>
  <si>
    <t>B001</t>
  </si>
  <si>
    <t>C001</t>
  </si>
  <si>
    <t>D001</t>
  </si>
  <si>
    <t>SC01</t>
  </si>
  <si>
    <t>SC02</t>
  </si>
  <si>
    <t>SC03</t>
  </si>
  <si>
    <t>SC04</t>
  </si>
  <si>
    <t>FBP01</t>
  </si>
  <si>
    <t>FBP02</t>
  </si>
  <si>
    <t>FBP03</t>
  </si>
  <si>
    <t>FBP04</t>
  </si>
  <si>
    <t>Fuel Store</t>
  </si>
  <si>
    <t>Fuel BP</t>
  </si>
  <si>
    <t>Store</t>
  </si>
  <si>
    <t>Accumul Bal</t>
  </si>
  <si>
    <t>Desc</t>
  </si>
  <si>
    <t>DR</t>
  </si>
  <si>
    <t>CR</t>
  </si>
  <si>
    <t>Date Conversion</t>
  </si>
  <si>
    <t>Store Code</t>
  </si>
  <si>
    <t>Financial Code</t>
  </si>
  <si>
    <t>Fin Description</t>
  </si>
  <si>
    <t>Cash from Security</t>
  </si>
  <si>
    <t>EFTPOS A001</t>
  </si>
  <si>
    <t>EFTPOS B001</t>
  </si>
  <si>
    <t>EFTPOS C001</t>
  </si>
  <si>
    <t>EFTPOS D001</t>
  </si>
  <si>
    <t>Codes on Statement</t>
  </si>
  <si>
    <t>Conversion</t>
  </si>
  <si>
    <t>Sol6 code</t>
  </si>
  <si>
    <t>WEEKDAY formula, use where we need to convert dates</t>
  </si>
  <si>
    <t>Refreshed at</t>
  </si>
  <si>
    <t>Last Archived</t>
  </si>
  <si>
    <t>ID</t>
  </si>
  <si>
    <t>DateConversion</t>
  </si>
  <si>
    <t>Description</t>
  </si>
  <si>
    <t>FinDesc</t>
  </si>
  <si>
    <t>FinCode</t>
  </si>
  <si>
    <t>Enter Store and Date:</t>
  </si>
  <si>
    <t>03/06/2018-18:05_55</t>
  </si>
  <si>
    <t>03/06/2018-18:06_26</t>
  </si>
  <si>
    <t>03/06/2018-18:06_45</t>
  </si>
  <si>
    <t>03/06/2018-18:06_57</t>
  </si>
  <si>
    <t>EFTPOS Amount</t>
  </si>
  <si>
    <t>01/04/2018 Total</t>
  </si>
  <si>
    <t>02/04/2018 Total</t>
  </si>
  <si>
    <t>03/04/2018 Total</t>
  </si>
  <si>
    <t>04/04/2018 Total</t>
  </si>
  <si>
    <t>10001</t>
  </si>
  <si>
    <t>10100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</si>
</sst>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[$-F800]dddd\,\ mmmm\ dd\,\ yyyy"/>
    <numFmt numFmtId="165" formatCode="dd/mm/yyyy"/>
    <numFmt numFmtId="166" formatCode="#,##0.00;[Red]\-#,##0.00;\-_)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theme="0" tint="-4.9989318521683403E-2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C99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6">
    <xf numFmtId="0" fontId="0" fillId="0" borderId="0"/>
    <xf numFmtId="43" fontId="1" fillId="0" borderId="0" applyFont="0" applyFill="0" applyBorder="0" applyAlignment="0" applyProtection="0"/>
    <xf numFmtId="0" fontId="2" fillId="0" borderId="1" applyNumberFormat="0" applyFill="0" applyAlignment="0" applyProtection="0"/>
    <xf numFmtId="0" fontId="5" fillId="3" borderId="14" applyNumberFormat="0" applyAlignment="0" applyProtection="0"/>
    <xf numFmtId="0" fontId="6" fillId="14" borderId="2"/>
    <xf numFmtId="166" fontId="1" fillId="0" borderId="0" applyFont="0" applyFill="0" applyBorder="0" applyAlignment="0" applyProtection="0"/>
  </cellStyleXfs>
  <cellXfs count="75">
    <xf numFmtId="0" fontId="0" fillId="0" borderId="0" xfId="0"/>
    <xf numFmtId="14" fontId="0" fillId="0" borderId="0" xfId="0" applyNumberFormat="1"/>
    <xf numFmtId="43" fontId="0" fillId="0" borderId="0" xfId="1" applyFont="1"/>
    <xf numFmtId="0" fontId="0" fillId="0" borderId="12" xfId="0" applyBorder="1"/>
    <xf numFmtId="14" fontId="0" fillId="0" borderId="12" xfId="0" applyNumberFormat="1" applyBorder="1"/>
    <xf numFmtId="43" fontId="0" fillId="0" borderId="12" xfId="1" applyFont="1" applyBorder="1"/>
    <xf numFmtId="0" fontId="0" fillId="5" borderId="2" xfId="0" applyFill="1" applyBorder="1"/>
    <xf numFmtId="0" fontId="0" fillId="11" borderId="2" xfId="0" applyFill="1" applyBorder="1"/>
    <xf numFmtId="0" fontId="4" fillId="5" borderId="2" xfId="0" applyFont="1" applyFill="1" applyBorder="1"/>
    <xf numFmtId="0" fontId="4" fillId="11" borderId="2" xfId="0" applyFont="1" applyFill="1" applyBorder="1"/>
    <xf numFmtId="14" fontId="0" fillId="5" borderId="2" xfId="0" applyNumberFormat="1" applyFill="1" applyBorder="1"/>
    <xf numFmtId="0" fontId="5" fillId="3" borderId="14" xfId="3"/>
    <xf numFmtId="43" fontId="5" fillId="3" borderId="14" xfId="3" applyNumberFormat="1"/>
    <xf numFmtId="43" fontId="4" fillId="11" borderId="2" xfId="1" applyFont="1" applyFill="1" applyBorder="1"/>
    <xf numFmtId="43" fontId="0" fillId="11" borderId="2" xfId="1" applyFont="1" applyFill="1" applyBorder="1"/>
    <xf numFmtId="164" fontId="0" fillId="0" borderId="0" xfId="0" applyNumberFormat="1"/>
    <xf numFmtId="0" fontId="0" fillId="2" borderId="0" xfId="0" applyFill="1"/>
    <xf numFmtId="14" fontId="0" fillId="11" borderId="2" xfId="0" applyNumberFormat="1" applyFill="1" applyBorder="1"/>
    <xf numFmtId="43" fontId="4" fillId="5" borderId="2" xfId="1" applyFont="1" applyFill="1" applyBorder="1"/>
    <xf numFmtId="43" fontId="0" fillId="5" borderId="2" xfId="1" applyFont="1" applyFill="1" applyBorder="1"/>
    <xf numFmtId="0" fontId="0" fillId="0" borderId="0" xfId="0" applyProtection="1"/>
    <xf numFmtId="0" fontId="2" fillId="0" borderId="1" xfId="2" applyProtection="1"/>
    <xf numFmtId="0" fontId="4" fillId="0" borderId="2" xfId="0" applyFont="1" applyBorder="1" applyProtection="1"/>
    <xf numFmtId="0" fontId="0" fillId="0" borderId="2" xfId="0" applyBorder="1" applyProtection="1"/>
    <xf numFmtId="0" fontId="4" fillId="13" borderId="6" xfId="0" applyFont="1" applyFill="1" applyBorder="1" applyProtection="1"/>
    <xf numFmtId="0" fontId="4" fillId="13" borderId="7" xfId="0" applyFont="1" applyFill="1" applyBorder="1" applyProtection="1"/>
    <xf numFmtId="0" fontId="4" fillId="13" borderId="3" xfId="0" applyFont="1" applyFill="1" applyBorder="1" applyProtection="1"/>
    <xf numFmtId="0" fontId="4" fillId="13" borderId="4" xfId="0" applyFont="1" applyFill="1" applyBorder="1" applyProtection="1"/>
    <xf numFmtId="0" fontId="4" fillId="13" borderId="5" xfId="0" applyFont="1" applyFill="1" applyBorder="1" applyProtection="1"/>
    <xf numFmtId="0" fontId="0" fillId="12" borderId="6" xfId="0" applyFill="1" applyBorder="1" applyProtection="1"/>
    <xf numFmtId="14" fontId="0" fillId="12" borderId="8" xfId="0" applyNumberFormat="1" applyFill="1" applyBorder="1" applyProtection="1"/>
    <xf numFmtId="43" fontId="0" fillId="6" borderId="7" xfId="1" applyFont="1" applyFill="1" applyBorder="1" applyProtection="1"/>
    <xf numFmtId="43" fontId="0" fillId="6" borderId="8" xfId="1" applyFont="1" applyFill="1" applyBorder="1" applyProtection="1"/>
    <xf numFmtId="43" fontId="0" fillId="10" borderId="6" xfId="1" applyFont="1" applyFill="1" applyBorder="1" applyProtection="1"/>
    <xf numFmtId="43" fontId="0" fillId="10" borderId="7" xfId="1" applyFont="1" applyFill="1" applyBorder="1" applyProtection="1"/>
    <xf numFmtId="43" fontId="0" fillId="10" borderId="8" xfId="1" applyFont="1" applyFill="1" applyBorder="1" applyProtection="1"/>
    <xf numFmtId="43" fontId="0" fillId="8" borderId="6" xfId="1" applyFont="1" applyFill="1" applyBorder="1" applyProtection="1"/>
    <xf numFmtId="43" fontId="0" fillId="8" borderId="7" xfId="1" applyFont="1" applyFill="1" applyBorder="1" applyProtection="1"/>
    <xf numFmtId="43" fontId="0" fillId="8" borderId="8" xfId="1" applyFont="1" applyFill="1" applyBorder="1" applyProtection="1"/>
    <xf numFmtId="0" fontId="0" fillId="13" borderId="9" xfId="0" applyFill="1" applyBorder="1" applyProtection="1"/>
    <xf numFmtId="14" fontId="0" fillId="13" borderId="10" xfId="0" applyNumberFormat="1" applyFill="1" applyBorder="1" applyProtection="1"/>
    <xf numFmtId="43" fontId="0" fillId="7" borderId="0" xfId="1" applyFont="1" applyFill="1" applyBorder="1" applyProtection="1"/>
    <xf numFmtId="43" fontId="0" fillId="7" borderId="10" xfId="1" applyFont="1" applyFill="1" applyBorder="1" applyProtection="1"/>
    <xf numFmtId="43" fontId="0" fillId="4" borderId="9" xfId="1" applyFont="1" applyFill="1" applyBorder="1" applyProtection="1"/>
    <xf numFmtId="43" fontId="0" fillId="4" borderId="0" xfId="1" applyFont="1" applyFill="1" applyBorder="1" applyProtection="1"/>
    <xf numFmtId="43" fontId="0" fillId="4" borderId="10" xfId="1" applyFont="1" applyFill="1" applyBorder="1" applyProtection="1"/>
    <xf numFmtId="43" fontId="0" fillId="9" borderId="9" xfId="1" applyFont="1" applyFill="1" applyBorder="1" applyProtection="1"/>
    <xf numFmtId="43" fontId="0" fillId="9" borderId="0" xfId="1" applyFont="1" applyFill="1" applyBorder="1" applyProtection="1"/>
    <xf numFmtId="43" fontId="0" fillId="9" borderId="10" xfId="1" applyFont="1" applyFill="1" applyBorder="1" applyProtection="1"/>
    <xf numFmtId="0" fontId="0" fillId="12" borderId="9" xfId="0" applyFill="1" applyBorder="1" applyProtection="1"/>
    <xf numFmtId="14" fontId="0" fillId="12" borderId="10" xfId="0" applyNumberFormat="1" applyFill="1" applyBorder="1" applyProtection="1"/>
    <xf numFmtId="43" fontId="0" fillId="6" borderId="0" xfId="1" applyFont="1" applyFill="1" applyBorder="1" applyProtection="1"/>
    <xf numFmtId="43" fontId="0" fillId="6" borderId="10" xfId="1" applyFont="1" applyFill="1" applyBorder="1" applyProtection="1"/>
    <xf numFmtId="43" fontId="0" fillId="10" borderId="9" xfId="1" applyFont="1" applyFill="1" applyBorder="1" applyProtection="1"/>
    <xf numFmtId="43" fontId="0" fillId="10" borderId="0" xfId="1" applyFont="1" applyFill="1" applyBorder="1" applyProtection="1"/>
    <xf numFmtId="43" fontId="0" fillId="10" borderId="10" xfId="1" applyFont="1" applyFill="1" applyBorder="1" applyProtection="1"/>
    <xf numFmtId="43" fontId="0" fillId="8" borderId="9" xfId="1" applyFont="1" applyFill="1" applyBorder="1" applyProtection="1"/>
    <xf numFmtId="43" fontId="0" fillId="8" borderId="0" xfId="1" applyFont="1" applyFill="1" applyBorder="1" applyProtection="1"/>
    <xf numFmtId="43" fontId="0" fillId="8" borderId="10" xfId="1" applyFont="1" applyFill="1" applyBorder="1" applyProtection="1"/>
    <xf numFmtId="0" fontId="0" fillId="13" borderId="11" xfId="0" applyFill="1" applyBorder="1" applyProtection="1"/>
    <xf numFmtId="14" fontId="0" fillId="13" borderId="13" xfId="0" applyNumberFormat="1" applyFill="1" applyBorder="1" applyProtection="1"/>
    <xf numFmtId="43" fontId="0" fillId="7" borderId="12" xfId="1" applyFont="1" applyFill="1" applyBorder="1" applyProtection="1"/>
    <xf numFmtId="43" fontId="0" fillId="7" borderId="13" xfId="1" applyFont="1" applyFill="1" applyBorder="1" applyProtection="1"/>
    <xf numFmtId="43" fontId="0" fillId="4" borderId="11" xfId="1" applyFont="1" applyFill="1" applyBorder="1" applyProtection="1"/>
    <xf numFmtId="43" fontId="0" fillId="4" borderId="12" xfId="1" applyFont="1" applyFill="1" applyBorder="1" applyProtection="1"/>
    <xf numFmtId="43" fontId="0" fillId="4" borderId="13" xfId="1" applyFont="1" applyFill="1" applyBorder="1" applyProtection="1"/>
    <xf numFmtId="43" fontId="0" fillId="9" borderId="11" xfId="1" applyFont="1" applyFill="1" applyBorder="1" applyProtection="1"/>
    <xf numFmtId="43" fontId="0" fillId="9" borderId="12" xfId="1" applyFont="1" applyFill="1" applyBorder="1" applyProtection="1"/>
    <xf numFmtId="43" fontId="0" fillId="9" borderId="13" xfId="1" applyFont="1" applyFill="1" applyBorder="1" applyProtection="1"/>
    <xf numFmtId="165" fontId="0" fillId="0" borderId="0" xfId="0" applyNumberFormat="1"/>
    <xf numFmtId="3" fontId="0" fillId="0" borderId="0" xfId="0" applyNumberFormat="1"/>
    <xf numFmtId="0" fontId="0" fillId="2" borderId="2" xfId="0" applyFill="1" applyBorder="1" applyProtection="1"/>
    <xf numFmtId="14" fontId="0" fillId="2" borderId="2" xfId="0" applyNumberFormat="1" applyFill="1" applyBorder="1" applyProtection="1"/>
    <xf numFmtId="0" fontId="0" fillId="15" borderId="0" xfId="0" applyFill="1" applyProtection="1"/>
    <xf numFmtId="0" fontId="0" fillId="0" borderId="0" xfId="0" pivotButton="1"/>
  </cellXfs>
  <cellStyles count="6">
    <cellStyle name="Comma" xfId="1" builtinId="3"/>
    <cellStyle name="Heading 1" xfId="2" builtinId="16"/>
    <cellStyle name="Input" xfId="3" builtinId="20"/>
    <cellStyle name="NK # Format" xfId="5" xr:uid="{00000000-0005-0000-0000-000003000000}"/>
    <cellStyle name="Normal" xfId="0" builtinId="0"/>
    <cellStyle name="PurpleWhite" xfId="4" xr:uid="{00000000-0005-0000-0000-000005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238125</xdr:colOff>
          <xdr:row>2</xdr:row>
          <xdr:rowOff>180975</xdr:rowOff>
        </xdr:from>
        <xdr:to>
          <xdr:col>4</xdr:col>
          <xdr:colOff>66675</xdr:colOff>
          <xdr:row>5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180975</xdr:colOff>
          <xdr:row>2</xdr:row>
          <xdr:rowOff>171450</xdr:rowOff>
        </xdr:from>
        <xdr:to>
          <xdr:col>4</xdr:col>
          <xdr:colOff>1238250</xdr:colOff>
          <xdr:row>4</xdr:row>
          <xdr:rowOff>180975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866775</xdr:colOff>
          <xdr:row>3</xdr:row>
          <xdr:rowOff>0</xdr:rowOff>
        </xdr:from>
        <xdr:to>
          <xdr:col>6</xdr:col>
          <xdr:colOff>914400</xdr:colOff>
          <xdr:row>5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Email Template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581025</xdr:colOff>
          <xdr:row>1</xdr:row>
          <xdr:rowOff>0</xdr:rowOff>
        </xdr:from>
        <xdr:to>
          <xdr:col>10</xdr:col>
          <xdr:colOff>190500</xdr:colOff>
          <xdr:row>3</xdr:row>
          <xdr:rowOff>95250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Archive CashSec</a:t>
              </a:r>
            </a:p>
          </xdr:txBody>
        </xdr:sp>
        <xdr:clientData fPrintsWithSheet="0"/>
      </xdr:twoCellAnchor>
    </mc:Choice>
    <mc:Fallback/>
  </mc:AlternateContent>
  <xdr:oneCellAnchor>
    <xdr:from>
      <xdr:col>8</xdr:col>
      <xdr:colOff>457501</xdr:colOff>
      <xdr:row>4</xdr:row>
      <xdr:rowOff>69348</xdr:rowOff>
    </xdr:from>
    <xdr:ext cx="1237648" cy="937629"/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7125001" y="831348"/>
          <a:ext cx="1237648" cy="937629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5400" b="0" cap="none" spc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$$$</a:t>
          </a:r>
        </a:p>
      </xdr:txBody>
    </xdr:sp>
    <xdr:clientData/>
  </xdr:oneCellAnchor>
  <xdr:twoCellAnchor editAs="oneCell">
    <xdr:from>
      <xdr:col>11</xdr:col>
      <xdr:colOff>38100</xdr:colOff>
      <xdr:row>5</xdr:row>
      <xdr:rowOff>57150</xdr:rowOff>
    </xdr:from>
    <xdr:to>
      <xdr:col>15</xdr:col>
      <xdr:colOff>19050</xdr:colOff>
      <xdr:row>18</xdr:row>
      <xdr:rowOff>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34400" y="1009650"/>
          <a:ext cx="2419350" cy="241935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1</xdr:row>
          <xdr:rowOff>9525</xdr:rowOff>
        </xdr:from>
        <xdr:to>
          <xdr:col>10</xdr:col>
          <xdr:colOff>304800</xdr:colOff>
          <xdr:row>3</xdr:row>
          <xdr:rowOff>114300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3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Archive Fuel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104775</xdr:colOff>
          <xdr:row>1</xdr:row>
          <xdr:rowOff>133350</xdr:rowOff>
        </xdr:from>
        <xdr:to>
          <xdr:col>12</xdr:col>
          <xdr:colOff>28575</xdr:colOff>
          <xdr:row>4</xdr:row>
          <xdr:rowOff>133350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Archive Statement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4</xdr:row>
          <xdr:rowOff>85725</xdr:rowOff>
        </xdr:from>
        <xdr:to>
          <xdr:col>9</xdr:col>
          <xdr:colOff>542925</xdr:colOff>
          <xdr:row>7</xdr:row>
          <xdr:rowOff>180975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5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Bank Data From Access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66675</xdr:colOff>
          <xdr:row>8</xdr:row>
          <xdr:rowOff>161925</xdr:rowOff>
        </xdr:from>
        <xdr:to>
          <xdr:col>9</xdr:col>
          <xdr:colOff>533400</xdr:colOff>
          <xdr:row>11</xdr:row>
          <xdr:rowOff>47625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5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Pivot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85725</xdr:colOff>
          <xdr:row>1</xdr:row>
          <xdr:rowOff>0</xdr:rowOff>
        </xdr:from>
        <xdr:to>
          <xdr:col>9</xdr:col>
          <xdr:colOff>390525</xdr:colOff>
          <xdr:row>3</xdr:row>
          <xdr:rowOff>95250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5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ik k" refreshedDate="44157.884807291666" createdVersion="1" refreshedVersion="6" recordCount="64" xr:uid="{CF0AD805-81C4-416B-9181-844C2350FBC3}">
  <cacheSource type="worksheet">
    <worksheetSource ref="A1:G65" sheet="PivotTable-Created using VBA"/>
  </cacheSource>
  <cacheFields count="7">
    <cacheField name="ID" numFmtId="0">
      <sharedItems containsSemiMixedTypes="0" containsString="0" containsNumber="1" containsInteger="1" minValue="1" maxValue="64"/>
    </cacheField>
    <cacheField name="DateConversion" numFmtId="165">
      <sharedItems containsSemiMixedTypes="0" containsNonDate="0" containsDate="1" containsString="0" minDate="2018-04-01T00:00:00" maxDate="2018-04-05T00:00:00" count="4">
        <d v="2018-04-01T00:00:00"/>
        <d v="2018-04-02T00:00:00"/>
        <d v="2018-04-03T00:00:00"/>
        <d v="2018-04-04T00:00:00"/>
      </sharedItems>
    </cacheField>
    <cacheField name="Description" numFmtId="0">
      <sharedItems/>
    </cacheField>
    <cacheField name="StoreName" numFmtId="0">
      <sharedItems count="4">
        <s v="StoreA"/>
        <s v="StoreB"/>
        <s v="StoreC"/>
        <s v="StoreD"/>
      </sharedItems>
    </cacheField>
    <cacheField name="FinDesc" numFmtId="0">
      <sharedItems count="1">
        <s v="EFTPOS"/>
      </sharedItems>
    </cacheField>
    <cacheField name="FinCode" numFmtId="0">
      <sharedItems/>
    </cacheField>
    <cacheField name="Amount" numFmtId="0">
      <sharedItems containsSemiMixedTypes="0" containsString="0" containsNumber="1" containsInteger="1" minValue="150" maxValue="7000" count="5">
        <n v="2000"/>
        <n v="150"/>
        <n v="6000"/>
        <n v="7000"/>
        <n v="305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4">
  <r>
    <n v="1"/>
    <x v="0"/>
    <s v="EFTPOS A001"/>
    <x v="0"/>
    <x v="0"/>
    <s v="10001"/>
    <x v="0"/>
  </r>
  <r>
    <n v="2"/>
    <x v="0"/>
    <s v="EFTPOS B001"/>
    <x v="1"/>
    <x v="0"/>
    <s v="10100"/>
    <x v="0"/>
  </r>
  <r>
    <n v="3"/>
    <x v="0"/>
    <s v="EFTPOS C001"/>
    <x v="2"/>
    <x v="0"/>
    <s v="10100"/>
    <x v="1"/>
  </r>
  <r>
    <n v="4"/>
    <x v="0"/>
    <s v="EFTPOS D001"/>
    <x v="3"/>
    <x v="0"/>
    <s v="10100"/>
    <x v="0"/>
  </r>
  <r>
    <n v="5"/>
    <x v="1"/>
    <s v="EFTPOS A001"/>
    <x v="0"/>
    <x v="0"/>
    <s v="10100"/>
    <x v="2"/>
  </r>
  <r>
    <n v="6"/>
    <x v="1"/>
    <s v="EFTPOS B001"/>
    <x v="1"/>
    <x v="0"/>
    <s v="10100"/>
    <x v="0"/>
  </r>
  <r>
    <n v="7"/>
    <x v="1"/>
    <s v="EFTPOS C001"/>
    <x v="2"/>
    <x v="0"/>
    <s v="10100"/>
    <x v="1"/>
  </r>
  <r>
    <n v="8"/>
    <x v="1"/>
    <s v="EFTPOS D001"/>
    <x v="3"/>
    <x v="0"/>
    <s v="10100"/>
    <x v="0"/>
  </r>
  <r>
    <n v="9"/>
    <x v="2"/>
    <s v="EFTPOS A001"/>
    <x v="0"/>
    <x v="0"/>
    <s v="10100"/>
    <x v="3"/>
  </r>
  <r>
    <n v="10"/>
    <x v="2"/>
    <s v="EFTPOS B001"/>
    <x v="1"/>
    <x v="0"/>
    <s v="10100"/>
    <x v="0"/>
  </r>
  <r>
    <n v="11"/>
    <x v="2"/>
    <s v="EFTPOS C001"/>
    <x v="2"/>
    <x v="0"/>
    <s v="10100"/>
    <x v="1"/>
  </r>
  <r>
    <n v="12"/>
    <x v="2"/>
    <s v="EFTPOS D001"/>
    <x v="3"/>
    <x v="0"/>
    <s v="10100"/>
    <x v="0"/>
  </r>
  <r>
    <n v="13"/>
    <x v="3"/>
    <s v="EFTPOS A001"/>
    <x v="0"/>
    <x v="0"/>
    <s v="10100"/>
    <x v="4"/>
  </r>
  <r>
    <n v="14"/>
    <x v="3"/>
    <s v="EFTPOS B001"/>
    <x v="1"/>
    <x v="0"/>
    <s v="10100"/>
    <x v="0"/>
  </r>
  <r>
    <n v="15"/>
    <x v="3"/>
    <s v="EFTPOS C001"/>
    <x v="2"/>
    <x v="0"/>
    <s v="10100"/>
    <x v="1"/>
  </r>
  <r>
    <n v="16"/>
    <x v="3"/>
    <s v="EFTPOS D001"/>
    <x v="3"/>
    <x v="0"/>
    <s v="10100"/>
    <x v="0"/>
  </r>
  <r>
    <n v="17"/>
    <x v="0"/>
    <s v="EFTPOS A001"/>
    <x v="0"/>
    <x v="0"/>
    <s v="10100"/>
    <x v="0"/>
  </r>
  <r>
    <n v="18"/>
    <x v="0"/>
    <s v="EFTPOS B001"/>
    <x v="1"/>
    <x v="0"/>
    <s v="10100"/>
    <x v="0"/>
  </r>
  <r>
    <n v="19"/>
    <x v="0"/>
    <s v="EFTPOS C001"/>
    <x v="2"/>
    <x v="0"/>
    <s v="10100"/>
    <x v="1"/>
  </r>
  <r>
    <n v="20"/>
    <x v="0"/>
    <s v="EFTPOS D001"/>
    <x v="3"/>
    <x v="0"/>
    <s v="10100"/>
    <x v="0"/>
  </r>
  <r>
    <n v="21"/>
    <x v="1"/>
    <s v="EFTPOS A001"/>
    <x v="0"/>
    <x v="0"/>
    <s v="10100"/>
    <x v="2"/>
  </r>
  <r>
    <n v="22"/>
    <x v="1"/>
    <s v="EFTPOS B001"/>
    <x v="1"/>
    <x v="0"/>
    <s v="10100"/>
    <x v="0"/>
  </r>
  <r>
    <n v="23"/>
    <x v="1"/>
    <s v="EFTPOS C001"/>
    <x v="2"/>
    <x v="0"/>
    <s v="10100"/>
    <x v="1"/>
  </r>
  <r>
    <n v="24"/>
    <x v="1"/>
    <s v="EFTPOS D001"/>
    <x v="3"/>
    <x v="0"/>
    <s v="10100"/>
    <x v="0"/>
  </r>
  <r>
    <n v="25"/>
    <x v="2"/>
    <s v="EFTPOS A001"/>
    <x v="0"/>
    <x v="0"/>
    <s v="10100"/>
    <x v="3"/>
  </r>
  <r>
    <n v="26"/>
    <x v="2"/>
    <s v="EFTPOS B001"/>
    <x v="1"/>
    <x v="0"/>
    <s v="10100"/>
    <x v="0"/>
  </r>
  <r>
    <n v="27"/>
    <x v="2"/>
    <s v="EFTPOS C001"/>
    <x v="2"/>
    <x v="0"/>
    <s v="10100"/>
    <x v="1"/>
  </r>
  <r>
    <n v="28"/>
    <x v="2"/>
    <s v="EFTPOS D001"/>
    <x v="3"/>
    <x v="0"/>
    <s v="10100"/>
    <x v="0"/>
  </r>
  <r>
    <n v="29"/>
    <x v="3"/>
    <s v="EFTPOS A001"/>
    <x v="0"/>
    <x v="0"/>
    <s v="10100"/>
    <x v="4"/>
  </r>
  <r>
    <n v="30"/>
    <x v="3"/>
    <s v="EFTPOS B001"/>
    <x v="1"/>
    <x v="0"/>
    <s v="10100"/>
    <x v="0"/>
  </r>
  <r>
    <n v="31"/>
    <x v="3"/>
    <s v="EFTPOS C001"/>
    <x v="2"/>
    <x v="0"/>
    <s v="10100"/>
    <x v="1"/>
  </r>
  <r>
    <n v="32"/>
    <x v="3"/>
    <s v="EFTPOS D001"/>
    <x v="3"/>
    <x v="0"/>
    <s v="10100"/>
    <x v="0"/>
  </r>
  <r>
    <n v="33"/>
    <x v="0"/>
    <s v="EFTPOS A001"/>
    <x v="0"/>
    <x v="0"/>
    <s v="10100"/>
    <x v="0"/>
  </r>
  <r>
    <n v="34"/>
    <x v="0"/>
    <s v="EFTPOS B001"/>
    <x v="1"/>
    <x v="0"/>
    <s v="10100"/>
    <x v="0"/>
  </r>
  <r>
    <n v="35"/>
    <x v="0"/>
    <s v="EFTPOS C001"/>
    <x v="2"/>
    <x v="0"/>
    <s v="10100"/>
    <x v="1"/>
  </r>
  <r>
    <n v="36"/>
    <x v="0"/>
    <s v="EFTPOS D001"/>
    <x v="3"/>
    <x v="0"/>
    <s v="10100"/>
    <x v="0"/>
  </r>
  <r>
    <n v="37"/>
    <x v="1"/>
    <s v="EFTPOS A001"/>
    <x v="0"/>
    <x v="0"/>
    <s v="10100"/>
    <x v="2"/>
  </r>
  <r>
    <n v="38"/>
    <x v="1"/>
    <s v="EFTPOS B001"/>
    <x v="1"/>
    <x v="0"/>
    <s v="10100"/>
    <x v="0"/>
  </r>
  <r>
    <n v="39"/>
    <x v="1"/>
    <s v="EFTPOS C001"/>
    <x v="2"/>
    <x v="0"/>
    <s v="10100"/>
    <x v="1"/>
  </r>
  <r>
    <n v="40"/>
    <x v="1"/>
    <s v="EFTPOS D001"/>
    <x v="3"/>
    <x v="0"/>
    <s v="10100"/>
    <x v="0"/>
  </r>
  <r>
    <n v="41"/>
    <x v="2"/>
    <s v="EFTPOS A001"/>
    <x v="0"/>
    <x v="0"/>
    <s v="10100"/>
    <x v="3"/>
  </r>
  <r>
    <n v="42"/>
    <x v="2"/>
    <s v="EFTPOS B001"/>
    <x v="1"/>
    <x v="0"/>
    <s v="10100"/>
    <x v="0"/>
  </r>
  <r>
    <n v="43"/>
    <x v="2"/>
    <s v="EFTPOS C001"/>
    <x v="2"/>
    <x v="0"/>
    <s v="10100"/>
    <x v="1"/>
  </r>
  <r>
    <n v="44"/>
    <x v="2"/>
    <s v="EFTPOS D001"/>
    <x v="3"/>
    <x v="0"/>
    <s v="10100"/>
    <x v="0"/>
  </r>
  <r>
    <n v="45"/>
    <x v="3"/>
    <s v="EFTPOS A001"/>
    <x v="0"/>
    <x v="0"/>
    <s v="10100"/>
    <x v="4"/>
  </r>
  <r>
    <n v="46"/>
    <x v="3"/>
    <s v="EFTPOS B001"/>
    <x v="1"/>
    <x v="0"/>
    <s v="10100"/>
    <x v="0"/>
  </r>
  <r>
    <n v="47"/>
    <x v="3"/>
    <s v="EFTPOS C001"/>
    <x v="2"/>
    <x v="0"/>
    <s v="10100"/>
    <x v="1"/>
  </r>
  <r>
    <n v="48"/>
    <x v="3"/>
    <s v="EFTPOS D001"/>
    <x v="3"/>
    <x v="0"/>
    <s v="10100"/>
    <x v="0"/>
  </r>
  <r>
    <n v="49"/>
    <x v="0"/>
    <s v="EFTPOS A001"/>
    <x v="0"/>
    <x v="0"/>
    <s v="10100"/>
    <x v="0"/>
  </r>
  <r>
    <n v="50"/>
    <x v="0"/>
    <s v="EFTPOS B001"/>
    <x v="1"/>
    <x v="0"/>
    <s v="10100"/>
    <x v="0"/>
  </r>
  <r>
    <n v="51"/>
    <x v="0"/>
    <s v="EFTPOS C001"/>
    <x v="2"/>
    <x v="0"/>
    <s v="10100"/>
    <x v="1"/>
  </r>
  <r>
    <n v="52"/>
    <x v="0"/>
    <s v="EFTPOS D001"/>
    <x v="3"/>
    <x v="0"/>
    <s v="10100"/>
    <x v="0"/>
  </r>
  <r>
    <n v="53"/>
    <x v="1"/>
    <s v="EFTPOS A001"/>
    <x v="0"/>
    <x v="0"/>
    <s v="10100"/>
    <x v="2"/>
  </r>
  <r>
    <n v="54"/>
    <x v="1"/>
    <s v="EFTPOS B001"/>
    <x v="1"/>
    <x v="0"/>
    <s v="10100"/>
    <x v="0"/>
  </r>
  <r>
    <n v="55"/>
    <x v="1"/>
    <s v="EFTPOS C001"/>
    <x v="2"/>
    <x v="0"/>
    <s v="10100"/>
    <x v="1"/>
  </r>
  <r>
    <n v="56"/>
    <x v="1"/>
    <s v="EFTPOS D001"/>
    <x v="3"/>
    <x v="0"/>
    <s v="10100"/>
    <x v="0"/>
  </r>
  <r>
    <n v="57"/>
    <x v="2"/>
    <s v="EFTPOS A001"/>
    <x v="0"/>
    <x v="0"/>
    <s v="10100"/>
    <x v="3"/>
  </r>
  <r>
    <n v="58"/>
    <x v="2"/>
    <s v="EFTPOS B001"/>
    <x v="1"/>
    <x v="0"/>
    <s v="10100"/>
    <x v="0"/>
  </r>
  <r>
    <n v="59"/>
    <x v="2"/>
    <s v="EFTPOS C001"/>
    <x v="2"/>
    <x v="0"/>
    <s v="10100"/>
    <x v="1"/>
  </r>
  <r>
    <n v="60"/>
    <x v="2"/>
    <s v="EFTPOS D001"/>
    <x v="3"/>
    <x v="0"/>
    <s v="10100"/>
    <x v="0"/>
  </r>
  <r>
    <n v="61"/>
    <x v="3"/>
    <s v="EFTPOS A001"/>
    <x v="0"/>
    <x v="0"/>
    <s v="10100"/>
    <x v="4"/>
  </r>
  <r>
    <n v="62"/>
    <x v="3"/>
    <s v="EFTPOS B001"/>
    <x v="1"/>
    <x v="0"/>
    <s v="10100"/>
    <x v="0"/>
  </r>
  <r>
    <n v="63"/>
    <x v="3"/>
    <s v="EFTPOS C001"/>
    <x v="2"/>
    <x v="0"/>
    <s v="10100"/>
    <x v="1"/>
  </r>
  <r>
    <n v="64"/>
    <x v="3"/>
    <s v="EFTPOS D001"/>
    <x v="3"/>
    <x v="0"/>
    <s v="1010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107C73C-CEE5-4907-856F-7499B012CFDC}" name="PivotTable1" cacheId="10" dataOnRows="1" applyNumberFormats="0" applyBorderFormats="0" applyFontFormats="0" applyPatternFormats="0" applyAlignmentFormats="0" applyWidthHeightFormats="1" dataCaption="Data" updatedVersion="6" showItems="0" showMultipleLabel="0" showMemberPropertyTips="0" useAutoFormatting="1" rowGrandTotals="0" colGrandTotals="0" itemPrintTitles="1" showDropZones="0" indent="0" compact="0" compactData="0" gridDropZones="1">
  <location ref="K2:M23" firstHeaderRow="1" firstDataRow="2" firstDataCol="2"/>
  <pivotFields count="7">
    <pivotField compact="0" outline="0" showAll="0" includeNewItemsInFilter="1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65" outline="0" showAll="0" includeNewItemsInFilter="1">
      <items count="5">
        <item x="0"/>
        <item x="1"/>
        <item x="2"/>
        <item x="3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includeNewItemsInFilter="1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includeNewItemsInFilter="1">
      <items count="5">
        <item x="0"/>
        <item x="1"/>
        <item x="2"/>
        <item x="3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outline="0" showAll="0" includeNewItemsInFilter="1">
      <items count="2">
        <item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includeNewItemsInFilter="1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includeNewItemsInFilter="1" defaultSubtotal="0">
      <items count="5">
        <item x="1"/>
        <item x="0"/>
        <item x="4"/>
        <item x="2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3"/>
  </rowFields>
  <rowItems count="20">
    <i>
      <x/>
      <x/>
    </i>
    <i r="1">
      <x v="1"/>
    </i>
    <i r="1">
      <x v="2"/>
    </i>
    <i r="1">
      <x v="3"/>
    </i>
    <i t="default">
      <x/>
    </i>
    <i>
      <x v="1"/>
      <x/>
    </i>
    <i r="1">
      <x v="1"/>
    </i>
    <i r="1">
      <x v="2"/>
    </i>
    <i r="1">
      <x v="3"/>
    </i>
    <i t="default">
      <x v="1"/>
    </i>
    <i>
      <x v="2"/>
      <x/>
    </i>
    <i r="1">
      <x v="1"/>
    </i>
    <i r="1">
      <x v="2"/>
    </i>
    <i r="1">
      <x v="3"/>
    </i>
    <i t="default">
      <x v="2"/>
    </i>
    <i>
      <x v="3"/>
      <x/>
    </i>
    <i r="1">
      <x v="1"/>
    </i>
    <i r="1">
      <x v="2"/>
    </i>
    <i r="1">
      <x v="3"/>
    </i>
    <i t="default">
      <x v="3"/>
    </i>
  </rowItems>
  <colFields count="1">
    <field x="4"/>
  </colFields>
  <colItems count="1">
    <i>
      <x/>
    </i>
  </colItems>
  <dataFields count="1">
    <dataField name="EFTPOS Amount" fld="6" baseField="0" baseItem="0" numFmtId="3"/>
  </dataFields>
  <pivotTableStyleInfo name="PivotStyleMedium10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1.xml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92D050"/>
  </sheetPr>
  <dimension ref="A1:K21"/>
  <sheetViews>
    <sheetView workbookViewId="0">
      <selection activeCell="E25" sqref="E25"/>
    </sheetView>
  </sheetViews>
  <sheetFormatPr defaultRowHeight="15" x14ac:dyDescent="0.25"/>
  <cols>
    <col min="1" max="2" width="15.85546875" style="20" bestFit="1" customWidth="1"/>
    <col min="3" max="3" width="20.42578125" style="20" customWidth="1"/>
    <col min="4" max="4" width="18.42578125" style="20" customWidth="1"/>
    <col min="5" max="5" width="19.7109375" style="20" customWidth="1"/>
    <col min="6" max="6" width="16.5703125" style="20" bestFit="1" customWidth="1"/>
    <col min="7" max="8" width="16.7109375" style="20" customWidth="1"/>
    <col min="9" max="10" width="13.7109375" style="20" customWidth="1"/>
    <col min="11" max="11" width="12.7109375" style="20" customWidth="1"/>
    <col min="12" max="16384" width="9.140625" style="20"/>
  </cols>
  <sheetData>
    <row r="1" spans="1:11" ht="20.25" thickBot="1" x14ac:dyDescent="0.35">
      <c r="A1" s="21" t="s">
        <v>0</v>
      </c>
      <c r="D1" s="20" t="s">
        <v>58</v>
      </c>
      <c r="E1" s="20" t="s">
        <v>66</v>
      </c>
    </row>
    <row r="2" spans="1:11" ht="15.75" thickTop="1" x14ac:dyDescent="0.25">
      <c r="C2" s="73" t="s">
        <v>65</v>
      </c>
    </row>
    <row r="3" spans="1:11" x14ac:dyDescent="0.25">
      <c r="A3" s="22" t="s">
        <v>14</v>
      </c>
      <c r="B3" s="23"/>
      <c r="C3" s="71" t="s">
        <v>11</v>
      </c>
    </row>
    <row r="4" spans="1:11" x14ac:dyDescent="0.25">
      <c r="A4" s="22" t="s">
        <v>15</v>
      </c>
      <c r="B4" s="23" t="s">
        <v>16</v>
      </c>
      <c r="C4" s="72">
        <v>43190</v>
      </c>
    </row>
    <row r="5" spans="1:11" x14ac:dyDescent="0.25">
      <c r="A5" s="23"/>
      <c r="B5" s="23" t="s">
        <v>17</v>
      </c>
      <c r="C5" s="72">
        <v>43196</v>
      </c>
    </row>
    <row r="7" spans="1:11" x14ac:dyDescent="0.25">
      <c r="A7" s="24" t="s">
        <v>40</v>
      </c>
      <c r="B7" s="25" t="s">
        <v>4</v>
      </c>
      <c r="C7" s="26" t="s">
        <v>1</v>
      </c>
      <c r="D7" s="27" t="s">
        <v>49</v>
      </c>
      <c r="E7" s="28" t="s">
        <v>41</v>
      </c>
      <c r="F7" s="26" t="s">
        <v>3</v>
      </c>
      <c r="G7" s="27" t="s">
        <v>2</v>
      </c>
      <c r="H7" s="28" t="s">
        <v>41</v>
      </c>
      <c r="I7" s="26" t="s">
        <v>38</v>
      </c>
      <c r="J7" s="27" t="s">
        <v>39</v>
      </c>
      <c r="K7" s="28" t="s">
        <v>41</v>
      </c>
    </row>
    <row r="8" spans="1:11" x14ac:dyDescent="0.25">
      <c r="A8" s="29" t="s">
        <v>11</v>
      </c>
      <c r="B8" s="30">
        <v>43190</v>
      </c>
      <c r="C8" s="31">
        <v>0</v>
      </c>
      <c r="D8" s="31">
        <v>0</v>
      </c>
      <c r="E8" s="32">
        <f>C8-D8</f>
        <v>0</v>
      </c>
      <c r="F8" s="33">
        <v>0</v>
      </c>
      <c r="G8" s="34">
        <v>0</v>
      </c>
      <c r="H8" s="35">
        <f>F8-G8</f>
        <v>0</v>
      </c>
      <c r="I8" s="36">
        <v>0</v>
      </c>
      <c r="J8" s="37">
        <v>0</v>
      </c>
      <c r="K8" s="38">
        <f>I8-J8</f>
        <v>0</v>
      </c>
    </row>
    <row r="9" spans="1:11" x14ac:dyDescent="0.25">
      <c r="A9" s="39" t="s">
        <v>11</v>
      </c>
      <c r="B9" s="40">
        <v>43191</v>
      </c>
      <c r="C9" s="41">
        <v>2000</v>
      </c>
      <c r="D9" s="41">
        <v>2000</v>
      </c>
      <c r="E9" s="42">
        <f>E8+C9-D9</f>
        <v>0</v>
      </c>
      <c r="F9" s="43">
        <v>4000</v>
      </c>
      <c r="G9" s="44">
        <v>2000</v>
      </c>
      <c r="H9" s="45">
        <f>H8+F9-G9</f>
        <v>2000</v>
      </c>
      <c r="I9" s="46">
        <v>100</v>
      </c>
      <c r="J9" s="47">
        <v>2000</v>
      </c>
      <c r="K9" s="48">
        <f>K8+I9-J9</f>
        <v>-1900</v>
      </c>
    </row>
    <row r="10" spans="1:11" x14ac:dyDescent="0.25">
      <c r="A10" s="49" t="s">
        <v>11</v>
      </c>
      <c r="B10" s="50">
        <v>43192</v>
      </c>
      <c r="C10" s="51">
        <v>1000</v>
      </c>
      <c r="D10" s="51">
        <v>2000</v>
      </c>
      <c r="E10" s="52">
        <f t="shared" ref="E10:E14" si="0">E9+C10-D10</f>
        <v>-1000</v>
      </c>
      <c r="F10" s="53">
        <v>2000</v>
      </c>
      <c r="G10" s="54">
        <v>2000</v>
      </c>
      <c r="H10" s="55">
        <f t="shared" ref="H10:H14" si="1">H9+F10-G10</f>
        <v>2000</v>
      </c>
      <c r="I10" s="56">
        <v>200</v>
      </c>
      <c r="J10" s="57">
        <v>2000</v>
      </c>
      <c r="K10" s="58">
        <f>K9+I10-J10</f>
        <v>-3700</v>
      </c>
    </row>
    <row r="11" spans="1:11" x14ac:dyDescent="0.25">
      <c r="A11" s="39" t="s">
        <v>11</v>
      </c>
      <c r="B11" s="40">
        <v>43193</v>
      </c>
      <c r="C11" s="41">
        <v>1000</v>
      </c>
      <c r="D11" s="41">
        <v>2000</v>
      </c>
      <c r="E11" s="42">
        <f t="shared" si="0"/>
        <v>-2000</v>
      </c>
      <c r="F11" s="43">
        <v>2000</v>
      </c>
      <c r="G11" s="44">
        <v>2000</v>
      </c>
      <c r="H11" s="45">
        <f t="shared" si="1"/>
        <v>2000</v>
      </c>
      <c r="I11" s="46">
        <v>200</v>
      </c>
      <c r="J11" s="47">
        <v>2000</v>
      </c>
      <c r="K11" s="48">
        <f t="shared" ref="K11:K14" si="2">K10+I11-J11</f>
        <v>-5500</v>
      </c>
    </row>
    <row r="12" spans="1:11" x14ac:dyDescent="0.25">
      <c r="A12" s="49" t="s">
        <v>11</v>
      </c>
      <c r="B12" s="50">
        <v>43194</v>
      </c>
      <c r="C12" s="51">
        <v>1000</v>
      </c>
      <c r="D12" s="51">
        <v>2000</v>
      </c>
      <c r="E12" s="52">
        <f t="shared" si="0"/>
        <v>-3000</v>
      </c>
      <c r="F12" s="53">
        <v>2000</v>
      </c>
      <c r="G12" s="54">
        <v>2000</v>
      </c>
      <c r="H12" s="55">
        <f t="shared" si="1"/>
        <v>2000</v>
      </c>
      <c r="I12" s="56">
        <v>200</v>
      </c>
      <c r="J12" s="57">
        <v>2000</v>
      </c>
      <c r="K12" s="58">
        <f t="shared" si="2"/>
        <v>-7300</v>
      </c>
    </row>
    <row r="13" spans="1:11" x14ac:dyDescent="0.25">
      <c r="A13" s="39" t="s">
        <v>11</v>
      </c>
      <c r="B13" s="40">
        <v>43195</v>
      </c>
      <c r="C13" s="41">
        <v>1000</v>
      </c>
      <c r="D13" s="41">
        <v>0</v>
      </c>
      <c r="E13" s="42">
        <f t="shared" si="0"/>
        <v>-2000</v>
      </c>
      <c r="F13" s="43">
        <v>2000</v>
      </c>
      <c r="G13" s="44">
        <v>0</v>
      </c>
      <c r="H13" s="45">
        <f t="shared" si="1"/>
        <v>4000</v>
      </c>
      <c r="I13" s="46">
        <v>200</v>
      </c>
      <c r="J13" s="47">
        <v>0</v>
      </c>
      <c r="K13" s="48">
        <f t="shared" si="2"/>
        <v>-7100</v>
      </c>
    </row>
    <row r="14" spans="1:11" x14ac:dyDescent="0.25">
      <c r="A14" s="49" t="s">
        <v>11</v>
      </c>
      <c r="B14" s="50">
        <v>43196</v>
      </c>
      <c r="C14" s="51">
        <v>0</v>
      </c>
      <c r="D14" s="51">
        <v>0</v>
      </c>
      <c r="E14" s="52">
        <f t="shared" si="0"/>
        <v>-2000</v>
      </c>
      <c r="F14" s="53">
        <v>0</v>
      </c>
      <c r="G14" s="54">
        <v>0</v>
      </c>
      <c r="H14" s="55">
        <f t="shared" si="1"/>
        <v>4000</v>
      </c>
      <c r="I14" s="56">
        <v>0</v>
      </c>
      <c r="J14" s="57">
        <v>0</v>
      </c>
      <c r="K14" s="58">
        <f t="shared" si="2"/>
        <v>-7100</v>
      </c>
    </row>
    <row r="15" spans="1:11" x14ac:dyDescent="0.25">
      <c r="A15" s="39"/>
      <c r="B15" s="40"/>
      <c r="C15" s="41"/>
      <c r="D15" s="41"/>
      <c r="E15" s="42"/>
      <c r="F15" s="43"/>
      <c r="G15" s="44"/>
      <c r="H15" s="45"/>
      <c r="I15" s="46"/>
      <c r="J15" s="47"/>
      <c r="K15" s="48"/>
    </row>
    <row r="16" spans="1:11" x14ac:dyDescent="0.25">
      <c r="A16" s="49"/>
      <c r="B16" s="50"/>
      <c r="C16" s="51"/>
      <c r="D16" s="51"/>
      <c r="E16" s="52"/>
      <c r="F16" s="53"/>
      <c r="G16" s="54"/>
      <c r="H16" s="55"/>
      <c r="I16" s="56"/>
      <c r="J16" s="57"/>
      <c r="K16" s="58"/>
    </row>
    <row r="17" spans="1:11" x14ac:dyDescent="0.25">
      <c r="A17" s="39"/>
      <c r="B17" s="40"/>
      <c r="C17" s="41"/>
      <c r="D17" s="41"/>
      <c r="E17" s="42"/>
      <c r="F17" s="43"/>
      <c r="G17" s="44"/>
      <c r="H17" s="45"/>
      <c r="I17" s="46"/>
      <c r="J17" s="47"/>
      <c r="K17" s="48"/>
    </row>
    <row r="18" spans="1:11" x14ac:dyDescent="0.25">
      <c r="A18" s="49"/>
      <c r="B18" s="50"/>
      <c r="C18" s="51"/>
      <c r="D18" s="51"/>
      <c r="E18" s="52"/>
      <c r="F18" s="53"/>
      <c r="G18" s="54"/>
      <c r="H18" s="55"/>
      <c r="I18" s="56"/>
      <c r="J18" s="57"/>
      <c r="K18" s="58"/>
    </row>
    <row r="19" spans="1:11" x14ac:dyDescent="0.25">
      <c r="A19" s="39"/>
      <c r="B19" s="40"/>
      <c r="C19" s="41"/>
      <c r="D19" s="41"/>
      <c r="E19" s="42"/>
      <c r="F19" s="43"/>
      <c r="G19" s="44"/>
      <c r="H19" s="45"/>
      <c r="I19" s="46"/>
      <c r="J19" s="47"/>
      <c r="K19" s="48"/>
    </row>
    <row r="20" spans="1:11" x14ac:dyDescent="0.25">
      <c r="A20" s="49"/>
      <c r="B20" s="50"/>
      <c r="C20" s="51"/>
      <c r="D20" s="51"/>
      <c r="E20" s="52"/>
      <c r="F20" s="53"/>
      <c r="G20" s="54"/>
      <c r="H20" s="55"/>
      <c r="I20" s="56"/>
      <c r="J20" s="57"/>
      <c r="K20" s="58"/>
    </row>
    <row r="21" spans="1:11" x14ac:dyDescent="0.25">
      <c r="A21" s="59"/>
      <c r="B21" s="60"/>
      <c r="C21" s="61"/>
      <c r="D21" s="61"/>
      <c r="E21" s="62"/>
      <c r="F21" s="63"/>
      <c r="G21" s="64"/>
      <c r="H21" s="65"/>
      <c r="I21" s="66"/>
      <c r="J21" s="67"/>
      <c r="K21" s="68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efreshData.RefreshData">
                <anchor>
                  <from>
                    <xdr:col>3</xdr:col>
                    <xdr:colOff>238125</xdr:colOff>
                    <xdr:row>2</xdr:row>
                    <xdr:rowOff>180975</xdr:rowOff>
                  </from>
                  <to>
                    <xdr:col>4</xdr:col>
                    <xdr:colOff>66675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learme">
                <anchor>
                  <from>
                    <xdr:col>4</xdr:col>
                    <xdr:colOff>180975</xdr:colOff>
                    <xdr:row>2</xdr:row>
                    <xdr:rowOff>171450</xdr:rowOff>
                  </from>
                  <to>
                    <xdr:col>4</xdr:col>
                    <xdr:colOff>1238250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Template">
                <anchor moveWithCells="1" sizeWithCells="1">
                  <from>
                    <xdr:col>5</xdr:col>
                    <xdr:colOff>866775</xdr:colOff>
                    <xdr:row>3</xdr:row>
                    <xdr:rowOff>0</xdr:rowOff>
                  </from>
                  <to>
                    <xdr:col>6</xdr:col>
                    <xdr:colOff>914400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0000000}">
          <x14:formula1>
            <xm:f>CStoreCodes!$A$2:$A$8</xm:f>
          </x14:formula1>
          <xm:sqref>C3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F0"/>
  </sheetPr>
  <dimension ref="A1:E21"/>
  <sheetViews>
    <sheetView workbookViewId="0">
      <selection activeCell="F5" sqref="F5"/>
    </sheetView>
  </sheetViews>
  <sheetFormatPr defaultRowHeight="15" x14ac:dyDescent="0.25"/>
  <cols>
    <col min="1" max="1" width="17" customWidth="1"/>
    <col min="2" max="2" width="16.140625" customWidth="1"/>
    <col min="3" max="3" width="17.7109375" style="2" customWidth="1"/>
    <col min="4" max="5" width="14" style="2" customWidth="1"/>
  </cols>
  <sheetData>
    <row r="1" spans="1:5" x14ac:dyDescent="0.25">
      <c r="A1" s="11" t="s">
        <v>5</v>
      </c>
      <c r="B1" s="11" t="s">
        <v>4</v>
      </c>
      <c r="C1" s="12" t="s">
        <v>8</v>
      </c>
      <c r="D1" s="12" t="s">
        <v>9</v>
      </c>
      <c r="E1" s="12" t="s">
        <v>10</v>
      </c>
    </row>
    <row r="2" spans="1:5" x14ac:dyDescent="0.25">
      <c r="A2" t="s">
        <v>7</v>
      </c>
      <c r="B2" s="1">
        <v>43191</v>
      </c>
      <c r="C2" s="2">
        <v>1000</v>
      </c>
      <c r="D2" s="2">
        <v>2000</v>
      </c>
      <c r="E2" s="2">
        <v>200</v>
      </c>
    </row>
    <row r="3" spans="1:5" x14ac:dyDescent="0.25">
      <c r="A3" t="s">
        <v>11</v>
      </c>
      <c r="B3" s="1">
        <v>43191</v>
      </c>
      <c r="C3" s="2">
        <v>2000</v>
      </c>
      <c r="D3" s="2">
        <v>4000</v>
      </c>
      <c r="E3" s="2">
        <v>100</v>
      </c>
    </row>
    <row r="4" spans="1:5" x14ac:dyDescent="0.25">
      <c r="A4" t="s">
        <v>12</v>
      </c>
      <c r="B4" s="1">
        <v>43191</v>
      </c>
      <c r="C4" s="2">
        <v>3000</v>
      </c>
      <c r="D4" s="2">
        <v>6000</v>
      </c>
      <c r="E4" s="2">
        <v>600</v>
      </c>
    </row>
    <row r="5" spans="1:5" x14ac:dyDescent="0.25">
      <c r="A5" s="3" t="s">
        <v>13</v>
      </c>
      <c r="B5" s="4">
        <v>43191</v>
      </c>
      <c r="C5" s="5">
        <v>1000</v>
      </c>
      <c r="D5" s="5">
        <v>2000</v>
      </c>
      <c r="E5" s="5">
        <v>200</v>
      </c>
    </row>
    <row r="6" spans="1:5" x14ac:dyDescent="0.25">
      <c r="A6" t="s">
        <v>7</v>
      </c>
      <c r="B6" s="1">
        <v>43192</v>
      </c>
      <c r="C6" s="2">
        <v>2500</v>
      </c>
      <c r="D6" s="2">
        <v>6000</v>
      </c>
      <c r="E6" s="2">
        <v>600</v>
      </c>
    </row>
    <row r="7" spans="1:5" x14ac:dyDescent="0.25">
      <c r="A7" t="s">
        <v>11</v>
      </c>
      <c r="B7" s="1">
        <v>43192</v>
      </c>
      <c r="C7" s="2">
        <v>1000</v>
      </c>
      <c r="D7" s="2">
        <v>2000</v>
      </c>
      <c r="E7" s="2">
        <v>200</v>
      </c>
    </row>
    <row r="8" spans="1:5" x14ac:dyDescent="0.25">
      <c r="A8" t="s">
        <v>12</v>
      </c>
      <c r="B8" s="1">
        <v>43192</v>
      </c>
      <c r="C8" s="2">
        <v>1000</v>
      </c>
      <c r="D8" s="2">
        <v>2000</v>
      </c>
      <c r="E8" s="2">
        <v>200</v>
      </c>
    </row>
    <row r="9" spans="1:5" x14ac:dyDescent="0.25">
      <c r="A9" s="3" t="s">
        <v>13</v>
      </c>
      <c r="B9" s="4">
        <v>43192</v>
      </c>
      <c r="C9" s="5">
        <v>2000</v>
      </c>
      <c r="D9" s="5">
        <v>4000</v>
      </c>
      <c r="E9" s="5">
        <v>100</v>
      </c>
    </row>
    <row r="10" spans="1:5" x14ac:dyDescent="0.25">
      <c r="A10" t="s">
        <v>7</v>
      </c>
      <c r="B10" s="1">
        <v>43193</v>
      </c>
      <c r="C10" s="2">
        <v>3500</v>
      </c>
      <c r="D10" s="2">
        <v>7000</v>
      </c>
      <c r="E10" s="2">
        <v>700</v>
      </c>
    </row>
    <row r="11" spans="1:5" x14ac:dyDescent="0.25">
      <c r="A11" t="s">
        <v>11</v>
      </c>
      <c r="B11" s="1">
        <v>43193</v>
      </c>
      <c r="C11" s="2">
        <v>1000</v>
      </c>
      <c r="D11" s="2">
        <v>2000</v>
      </c>
      <c r="E11" s="2">
        <v>200</v>
      </c>
    </row>
    <row r="12" spans="1:5" x14ac:dyDescent="0.25">
      <c r="A12" t="s">
        <v>12</v>
      </c>
      <c r="B12" s="1">
        <v>43193</v>
      </c>
      <c r="C12" s="2">
        <v>1000</v>
      </c>
      <c r="D12" s="2">
        <v>2000</v>
      </c>
      <c r="E12" s="2">
        <v>200</v>
      </c>
    </row>
    <row r="13" spans="1:5" x14ac:dyDescent="0.25">
      <c r="A13" s="3" t="s">
        <v>13</v>
      </c>
      <c r="B13" s="4">
        <v>43193</v>
      </c>
      <c r="C13" s="5">
        <v>2000</v>
      </c>
      <c r="D13" s="5">
        <v>4000</v>
      </c>
      <c r="E13" s="5">
        <v>100</v>
      </c>
    </row>
    <row r="14" spans="1:5" x14ac:dyDescent="0.25">
      <c r="A14" t="s">
        <v>7</v>
      </c>
      <c r="B14" s="1">
        <v>43194</v>
      </c>
      <c r="C14" s="2">
        <v>3001</v>
      </c>
      <c r="D14" s="2">
        <v>3500</v>
      </c>
      <c r="E14" s="2">
        <v>300</v>
      </c>
    </row>
    <row r="15" spans="1:5" x14ac:dyDescent="0.25">
      <c r="A15" t="s">
        <v>11</v>
      </c>
      <c r="B15" s="1">
        <v>43194</v>
      </c>
      <c r="C15" s="2">
        <v>1000</v>
      </c>
      <c r="D15" s="2">
        <v>2000</v>
      </c>
      <c r="E15" s="2">
        <v>200</v>
      </c>
    </row>
    <row r="16" spans="1:5" x14ac:dyDescent="0.25">
      <c r="A16" t="s">
        <v>12</v>
      </c>
      <c r="B16" s="1">
        <v>43194</v>
      </c>
      <c r="C16" s="2">
        <v>1000</v>
      </c>
      <c r="D16" s="2">
        <v>2000</v>
      </c>
      <c r="E16" s="2">
        <v>200</v>
      </c>
    </row>
    <row r="17" spans="1:5" x14ac:dyDescent="0.25">
      <c r="A17" s="3" t="s">
        <v>13</v>
      </c>
      <c r="B17" s="4">
        <v>43194</v>
      </c>
      <c r="C17" s="5">
        <v>2000</v>
      </c>
      <c r="D17" s="5">
        <v>4000</v>
      </c>
      <c r="E17" s="5">
        <v>100</v>
      </c>
    </row>
    <row r="18" spans="1:5" x14ac:dyDescent="0.25">
      <c r="A18" t="s">
        <v>7</v>
      </c>
      <c r="B18" s="1">
        <v>43195</v>
      </c>
      <c r="C18" s="2">
        <v>3546</v>
      </c>
      <c r="D18" s="2">
        <v>60000</v>
      </c>
      <c r="E18" s="2">
        <v>550</v>
      </c>
    </row>
    <row r="19" spans="1:5" x14ac:dyDescent="0.25">
      <c r="A19" t="s">
        <v>11</v>
      </c>
      <c r="B19" s="1">
        <v>43195</v>
      </c>
      <c r="C19" s="2">
        <v>1000</v>
      </c>
      <c r="D19" s="2">
        <v>2000</v>
      </c>
      <c r="E19" s="2">
        <v>200</v>
      </c>
    </row>
    <row r="20" spans="1:5" x14ac:dyDescent="0.25">
      <c r="A20" t="s">
        <v>12</v>
      </c>
      <c r="B20" s="1">
        <v>43195</v>
      </c>
      <c r="C20" s="2">
        <v>1000</v>
      </c>
      <c r="D20" s="2">
        <v>2000</v>
      </c>
      <c r="E20" s="2">
        <v>200</v>
      </c>
    </row>
    <row r="21" spans="1:5" x14ac:dyDescent="0.25">
      <c r="A21" s="3" t="s">
        <v>13</v>
      </c>
      <c r="B21" s="4">
        <v>43195</v>
      </c>
      <c r="C21" s="5">
        <v>2000</v>
      </c>
      <c r="D21" s="5">
        <v>4000</v>
      </c>
      <c r="E21" s="5">
        <v>100</v>
      </c>
    </row>
  </sheetData>
  <autoFilter ref="A1:E21" xr:uid="{00000000-0009-0000-0000-000001000000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theme="5" tint="-0.249977111117893"/>
  </sheetPr>
  <dimension ref="A1:L17"/>
  <sheetViews>
    <sheetView workbookViewId="0">
      <selection activeCell="I4" sqref="I4"/>
    </sheetView>
  </sheetViews>
  <sheetFormatPr defaultRowHeight="15" x14ac:dyDescent="0.25"/>
  <cols>
    <col min="1" max="1" width="11.42578125" customWidth="1"/>
    <col min="2" max="2" width="10" customWidth="1"/>
    <col min="3" max="3" width="10" style="2" customWidth="1"/>
    <col min="4" max="4" width="9.7109375" style="2" customWidth="1"/>
    <col min="5" max="5" width="19.85546875" customWidth="1"/>
    <col min="6" max="6" width="17.28515625" customWidth="1"/>
    <col min="7" max="7" width="12.5703125" customWidth="1"/>
  </cols>
  <sheetData>
    <row r="1" spans="1:12" x14ac:dyDescent="0.25">
      <c r="A1" s="8" t="s">
        <v>4</v>
      </c>
      <c r="B1" s="8" t="s">
        <v>40</v>
      </c>
      <c r="C1" s="18" t="s">
        <v>43</v>
      </c>
      <c r="D1" s="18" t="s">
        <v>44</v>
      </c>
      <c r="E1" s="9" t="s">
        <v>45</v>
      </c>
      <c r="F1" s="9" t="s">
        <v>14</v>
      </c>
      <c r="G1" s="13" t="s">
        <v>6</v>
      </c>
    </row>
    <row r="2" spans="1:12" x14ac:dyDescent="0.25">
      <c r="A2" s="10">
        <v>43190</v>
      </c>
      <c r="B2" s="6" t="s">
        <v>30</v>
      </c>
      <c r="C2" s="19"/>
      <c r="D2" s="19">
        <v>1000</v>
      </c>
      <c r="E2" s="17">
        <f>A2+1</f>
        <v>43191</v>
      </c>
      <c r="F2" s="7" t="str">
        <f>INDEX(CStoreCodes!$A:$A,MATCH(B2,CStoreCodes!$D:$D,0))</f>
        <v>StoreA</v>
      </c>
      <c r="G2" s="14">
        <f>IF(C2="",D2,-C2)</f>
        <v>1000</v>
      </c>
      <c r="L2" t="s">
        <v>59</v>
      </c>
    </row>
    <row r="3" spans="1:12" x14ac:dyDescent="0.25">
      <c r="A3" s="10">
        <v>43190</v>
      </c>
      <c r="B3" s="6" t="s">
        <v>31</v>
      </c>
      <c r="C3" s="19"/>
      <c r="D3" s="19">
        <v>2000</v>
      </c>
      <c r="E3" s="17">
        <f t="shared" ref="E3:E5" si="0">A3+1</f>
        <v>43191</v>
      </c>
      <c r="F3" s="7" t="str">
        <f>INDEX(CStoreCodes!$A:$A,MATCH(B3,CStoreCodes!$D:$D,0))</f>
        <v>StoreB</v>
      </c>
      <c r="G3" s="14">
        <f t="shared" ref="G3:G5" si="1">IF(C3="",D3,-C3)</f>
        <v>2000</v>
      </c>
      <c r="L3" t="s">
        <v>67</v>
      </c>
    </row>
    <row r="4" spans="1:12" x14ac:dyDescent="0.25">
      <c r="A4" s="10">
        <v>43190</v>
      </c>
      <c r="B4" s="6" t="s">
        <v>32</v>
      </c>
      <c r="C4" s="19"/>
      <c r="D4" s="19">
        <v>150</v>
      </c>
      <c r="E4" s="17">
        <f t="shared" si="0"/>
        <v>43191</v>
      </c>
      <c r="F4" s="7" t="str">
        <f>INDEX(CStoreCodes!$A:$A,MATCH(B4,CStoreCodes!$D:$D,0))</f>
        <v>StoreC</v>
      </c>
      <c r="G4" s="14">
        <f t="shared" si="1"/>
        <v>150</v>
      </c>
    </row>
    <row r="5" spans="1:12" x14ac:dyDescent="0.25">
      <c r="A5" s="10">
        <v>43190</v>
      </c>
      <c r="B5" s="6" t="s">
        <v>33</v>
      </c>
      <c r="C5" s="19"/>
      <c r="D5" s="19">
        <v>2000</v>
      </c>
      <c r="E5" s="17">
        <f t="shared" si="0"/>
        <v>43191</v>
      </c>
      <c r="F5" s="7" t="str">
        <f>INDEX(CStoreCodes!$A:$A,MATCH(B5,CStoreCodes!$D:$D,0))</f>
        <v>StoreD</v>
      </c>
      <c r="G5" s="14">
        <f t="shared" si="1"/>
        <v>2000</v>
      </c>
    </row>
    <row r="6" spans="1:12" x14ac:dyDescent="0.25">
      <c r="A6" s="10">
        <v>43191</v>
      </c>
      <c r="B6" s="6" t="s">
        <v>30</v>
      </c>
      <c r="C6" s="19"/>
      <c r="D6" s="19">
        <v>2500</v>
      </c>
      <c r="E6" s="17">
        <f t="shared" ref="E6:E17" si="2">A6+1</f>
        <v>43192</v>
      </c>
      <c r="F6" s="7" t="str">
        <f>INDEX(CStoreCodes!$A:$A,MATCH(B6,CStoreCodes!$D:$D,0))</f>
        <v>StoreA</v>
      </c>
      <c r="G6" s="14">
        <f t="shared" ref="G6:G17" si="3">IF(C6="",D6,-C6)</f>
        <v>2500</v>
      </c>
    </row>
    <row r="7" spans="1:12" x14ac:dyDescent="0.25">
      <c r="A7" s="10">
        <v>43191</v>
      </c>
      <c r="B7" s="6" t="s">
        <v>31</v>
      </c>
      <c r="C7" s="19"/>
      <c r="D7" s="19">
        <v>2000</v>
      </c>
      <c r="E7" s="17">
        <f t="shared" si="2"/>
        <v>43192</v>
      </c>
      <c r="F7" s="7" t="str">
        <f>INDEX(CStoreCodes!$A:$A,MATCH(B7,CStoreCodes!$D:$D,0))</f>
        <v>StoreB</v>
      </c>
      <c r="G7" s="14">
        <f t="shared" si="3"/>
        <v>2000</v>
      </c>
    </row>
    <row r="8" spans="1:12" x14ac:dyDescent="0.25">
      <c r="A8" s="10">
        <v>43191</v>
      </c>
      <c r="B8" s="6" t="s">
        <v>32</v>
      </c>
      <c r="C8" s="19"/>
      <c r="D8" s="19">
        <v>150</v>
      </c>
      <c r="E8" s="17">
        <f t="shared" si="2"/>
        <v>43192</v>
      </c>
      <c r="F8" s="7" t="str">
        <f>INDEX(CStoreCodes!$A:$A,MATCH(B8,CStoreCodes!$D:$D,0))</f>
        <v>StoreC</v>
      </c>
      <c r="G8" s="14">
        <f t="shared" si="3"/>
        <v>150</v>
      </c>
    </row>
    <row r="9" spans="1:12" x14ac:dyDescent="0.25">
      <c r="A9" s="10">
        <v>43191</v>
      </c>
      <c r="B9" s="6" t="s">
        <v>33</v>
      </c>
      <c r="C9" s="19"/>
      <c r="D9" s="19">
        <v>2000</v>
      </c>
      <c r="E9" s="17">
        <f t="shared" si="2"/>
        <v>43192</v>
      </c>
      <c r="F9" s="7" t="str">
        <f>INDEX(CStoreCodes!$A:$A,MATCH(B9,CStoreCodes!$D:$D,0))</f>
        <v>StoreD</v>
      </c>
      <c r="G9" s="14">
        <f t="shared" si="3"/>
        <v>2000</v>
      </c>
    </row>
    <row r="10" spans="1:12" x14ac:dyDescent="0.25">
      <c r="A10" s="10">
        <v>43192</v>
      </c>
      <c r="B10" s="6" t="s">
        <v>30</v>
      </c>
      <c r="C10" s="19"/>
      <c r="D10" s="19">
        <v>3502</v>
      </c>
      <c r="E10" s="17">
        <f t="shared" si="2"/>
        <v>43193</v>
      </c>
      <c r="F10" s="7" t="str">
        <f>INDEX(CStoreCodes!$A:$A,MATCH(B10,CStoreCodes!$D:$D,0))</f>
        <v>StoreA</v>
      </c>
      <c r="G10" s="14">
        <f t="shared" si="3"/>
        <v>3502</v>
      </c>
    </row>
    <row r="11" spans="1:12" x14ac:dyDescent="0.25">
      <c r="A11" s="10">
        <v>43192</v>
      </c>
      <c r="B11" s="6" t="s">
        <v>31</v>
      </c>
      <c r="C11" s="19"/>
      <c r="D11" s="19">
        <v>2000</v>
      </c>
      <c r="E11" s="17">
        <f t="shared" si="2"/>
        <v>43193</v>
      </c>
      <c r="F11" s="7" t="str">
        <f>INDEX(CStoreCodes!$A:$A,MATCH(B11,CStoreCodes!$D:$D,0))</f>
        <v>StoreB</v>
      </c>
      <c r="G11" s="14">
        <f t="shared" si="3"/>
        <v>2000</v>
      </c>
    </row>
    <row r="12" spans="1:12" x14ac:dyDescent="0.25">
      <c r="A12" s="10">
        <v>43192</v>
      </c>
      <c r="B12" s="6" t="s">
        <v>32</v>
      </c>
      <c r="C12" s="19"/>
      <c r="D12" s="19">
        <v>150</v>
      </c>
      <c r="E12" s="17">
        <f t="shared" si="2"/>
        <v>43193</v>
      </c>
      <c r="F12" s="7" t="str">
        <f>INDEX(CStoreCodes!$A:$A,MATCH(B12,CStoreCodes!$D:$D,0))</f>
        <v>StoreC</v>
      </c>
      <c r="G12" s="14">
        <f t="shared" si="3"/>
        <v>150</v>
      </c>
    </row>
    <row r="13" spans="1:12" x14ac:dyDescent="0.25">
      <c r="A13" s="10">
        <v>43192</v>
      </c>
      <c r="B13" s="6" t="s">
        <v>33</v>
      </c>
      <c r="C13" s="19"/>
      <c r="D13" s="19">
        <v>2000</v>
      </c>
      <c r="E13" s="17">
        <f t="shared" si="2"/>
        <v>43193</v>
      </c>
      <c r="F13" s="7" t="str">
        <f>INDEX(CStoreCodes!$A:$A,MATCH(B13,CStoreCodes!$D:$D,0))</f>
        <v>StoreD</v>
      </c>
      <c r="G13" s="14">
        <f t="shared" si="3"/>
        <v>2000</v>
      </c>
    </row>
    <row r="14" spans="1:12" x14ac:dyDescent="0.25">
      <c r="A14" s="10">
        <v>43193</v>
      </c>
      <c r="B14" s="6" t="s">
        <v>30</v>
      </c>
      <c r="C14" s="19"/>
      <c r="D14" s="19">
        <v>3000</v>
      </c>
      <c r="E14" s="17">
        <f t="shared" si="2"/>
        <v>43194</v>
      </c>
      <c r="F14" s="7" t="str">
        <f>INDEX(CStoreCodes!$A:$A,MATCH(B14,CStoreCodes!$D:$D,0))</f>
        <v>StoreA</v>
      </c>
      <c r="G14" s="14">
        <f t="shared" si="3"/>
        <v>3000</v>
      </c>
    </row>
    <row r="15" spans="1:12" x14ac:dyDescent="0.25">
      <c r="A15" s="10">
        <v>43193</v>
      </c>
      <c r="B15" s="6" t="s">
        <v>31</v>
      </c>
      <c r="C15" s="19"/>
      <c r="D15" s="19">
        <v>2000</v>
      </c>
      <c r="E15" s="17">
        <f t="shared" si="2"/>
        <v>43194</v>
      </c>
      <c r="F15" s="7" t="str">
        <f>INDEX(CStoreCodes!$A:$A,MATCH(B15,CStoreCodes!$D:$D,0))</f>
        <v>StoreB</v>
      </c>
      <c r="G15" s="14">
        <f t="shared" si="3"/>
        <v>2000</v>
      </c>
    </row>
    <row r="16" spans="1:12" x14ac:dyDescent="0.25">
      <c r="A16" s="10">
        <v>43193</v>
      </c>
      <c r="B16" s="6" t="s">
        <v>32</v>
      </c>
      <c r="C16" s="19"/>
      <c r="D16" s="19">
        <v>150</v>
      </c>
      <c r="E16" s="17">
        <f t="shared" si="2"/>
        <v>43194</v>
      </c>
      <c r="F16" s="7" t="str">
        <f>INDEX(CStoreCodes!$A:$A,MATCH(B16,CStoreCodes!$D:$D,0))</f>
        <v>StoreC</v>
      </c>
      <c r="G16" s="14">
        <f t="shared" si="3"/>
        <v>150</v>
      </c>
    </row>
    <row r="17" spans="1:7" x14ac:dyDescent="0.25">
      <c r="A17" s="10">
        <v>43193</v>
      </c>
      <c r="B17" s="6" t="s">
        <v>33</v>
      </c>
      <c r="C17" s="19"/>
      <c r="D17" s="19">
        <v>2000</v>
      </c>
      <c r="E17" s="17">
        <f t="shared" si="2"/>
        <v>43194</v>
      </c>
      <c r="F17" s="7" t="str">
        <f>INDEX(CStoreCodes!$A:$A,MATCH(B17,CStoreCodes!$D:$D,0))</f>
        <v>StoreD</v>
      </c>
      <c r="G17" s="14">
        <f t="shared" si="3"/>
        <v>2000</v>
      </c>
    </row>
  </sheetData>
  <autoFilter ref="A1:G17" xr:uid="{00000000-0009-0000-0000-000002000000}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allCashSCTransfer">
                <anchor moveWithCells="1" sizeWithCells="1">
                  <from>
                    <xdr:col>7</xdr:col>
                    <xdr:colOff>581025</xdr:colOff>
                    <xdr:row>1</xdr:row>
                    <xdr:rowOff>0</xdr:rowOff>
                  </from>
                  <to>
                    <xdr:col>10</xdr:col>
                    <xdr:colOff>190500</xdr:colOff>
                    <xdr:row>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theme="5" tint="-0.249977111117893"/>
  </sheetPr>
  <dimension ref="A1:L17"/>
  <sheetViews>
    <sheetView workbookViewId="0">
      <selection activeCell="I7" sqref="I7"/>
    </sheetView>
  </sheetViews>
  <sheetFormatPr defaultRowHeight="15" x14ac:dyDescent="0.25"/>
  <cols>
    <col min="1" max="2" width="13.140625" customWidth="1"/>
    <col min="3" max="4" width="13.140625" style="2" customWidth="1"/>
    <col min="5" max="5" width="15.7109375" bestFit="1" customWidth="1"/>
    <col min="6" max="7" width="13.140625" customWidth="1"/>
  </cols>
  <sheetData>
    <row r="1" spans="1:12" x14ac:dyDescent="0.25">
      <c r="A1" s="8" t="s">
        <v>4</v>
      </c>
      <c r="B1" s="8" t="s">
        <v>40</v>
      </c>
      <c r="C1" s="18" t="s">
        <v>43</v>
      </c>
      <c r="D1" s="18" t="s">
        <v>44</v>
      </c>
      <c r="E1" s="9" t="s">
        <v>45</v>
      </c>
      <c r="F1" s="9" t="s">
        <v>14</v>
      </c>
      <c r="G1" s="13" t="s">
        <v>6</v>
      </c>
    </row>
    <row r="2" spans="1:12" x14ac:dyDescent="0.25">
      <c r="A2" s="10">
        <v>43190</v>
      </c>
      <c r="B2" s="6" t="s">
        <v>34</v>
      </c>
      <c r="C2" s="19"/>
      <c r="D2" s="19">
        <v>200</v>
      </c>
      <c r="E2" s="17">
        <f>A2+1</f>
        <v>43191</v>
      </c>
      <c r="F2" s="7" t="str">
        <f>INDEX(CStoreCodes!$A:$A,MATCH(B2,CStoreCodes!$E:$E,0))</f>
        <v>StoreA</v>
      </c>
      <c r="G2" s="14">
        <f>IF(C2="",D2,-C2)</f>
        <v>200</v>
      </c>
      <c r="L2" t="s">
        <v>59</v>
      </c>
    </row>
    <row r="3" spans="1:12" x14ac:dyDescent="0.25">
      <c r="A3" s="10">
        <v>43190</v>
      </c>
      <c r="B3" s="6" t="s">
        <v>35</v>
      </c>
      <c r="C3" s="19"/>
      <c r="D3" s="19">
        <v>2000</v>
      </c>
      <c r="E3" s="17">
        <f t="shared" ref="E3:E5" si="0">A3+1</f>
        <v>43191</v>
      </c>
      <c r="F3" s="7" t="str">
        <f>INDEX(CStoreCodes!$A:$A,MATCH(B3,CStoreCodes!$E:$E,0))</f>
        <v>StoreB</v>
      </c>
      <c r="G3" s="14">
        <f t="shared" ref="G3:G5" si="1">IF(C3="",D3,-C3)</f>
        <v>2000</v>
      </c>
      <c r="L3" t="s">
        <v>68</v>
      </c>
    </row>
    <row r="4" spans="1:12" x14ac:dyDescent="0.25">
      <c r="A4" s="10">
        <v>43190</v>
      </c>
      <c r="B4" s="6" t="s">
        <v>36</v>
      </c>
      <c r="C4" s="19"/>
      <c r="D4" s="19">
        <v>150</v>
      </c>
      <c r="E4" s="17">
        <f t="shared" si="0"/>
        <v>43191</v>
      </c>
      <c r="F4" s="7" t="str">
        <f>INDEX(CStoreCodes!$A:$A,MATCH(B4,CStoreCodes!$E:$E,0))</f>
        <v>StoreC</v>
      </c>
      <c r="G4" s="14">
        <f t="shared" si="1"/>
        <v>150</v>
      </c>
    </row>
    <row r="5" spans="1:12" x14ac:dyDescent="0.25">
      <c r="A5" s="10">
        <v>43190</v>
      </c>
      <c r="B5" s="6" t="s">
        <v>37</v>
      </c>
      <c r="C5" s="19"/>
      <c r="D5" s="19">
        <v>2000</v>
      </c>
      <c r="E5" s="17">
        <f t="shared" si="0"/>
        <v>43191</v>
      </c>
      <c r="F5" s="7" t="str">
        <f>INDEX(CStoreCodes!$A:$A,MATCH(B5,CStoreCodes!$E:$E,0))</f>
        <v>StoreD</v>
      </c>
      <c r="G5" s="14">
        <f t="shared" si="1"/>
        <v>2000</v>
      </c>
    </row>
    <row r="6" spans="1:12" x14ac:dyDescent="0.25">
      <c r="A6" s="10">
        <v>43191</v>
      </c>
      <c r="B6" s="6" t="s">
        <v>34</v>
      </c>
      <c r="C6" s="19"/>
      <c r="D6" s="19">
        <v>600</v>
      </c>
      <c r="E6" s="17">
        <f t="shared" ref="E6:E17" si="2">A6+1</f>
        <v>43192</v>
      </c>
      <c r="F6" s="7" t="str">
        <f>INDEX(CStoreCodes!$A:$A,MATCH(B6,CStoreCodes!$E:$E,0))</f>
        <v>StoreA</v>
      </c>
      <c r="G6" s="14">
        <f t="shared" ref="G6:G17" si="3">IF(C6="",D6,-C6)</f>
        <v>600</v>
      </c>
    </row>
    <row r="7" spans="1:12" x14ac:dyDescent="0.25">
      <c r="A7" s="10">
        <v>43191</v>
      </c>
      <c r="B7" s="6" t="s">
        <v>35</v>
      </c>
      <c r="C7" s="19"/>
      <c r="D7" s="19">
        <v>2000</v>
      </c>
      <c r="E7" s="17">
        <f t="shared" si="2"/>
        <v>43192</v>
      </c>
      <c r="F7" s="7" t="str">
        <f>INDEX(CStoreCodes!$A:$A,MATCH(B7,CStoreCodes!$E:$E,0))</f>
        <v>StoreB</v>
      </c>
      <c r="G7" s="14">
        <f t="shared" si="3"/>
        <v>2000</v>
      </c>
    </row>
    <row r="8" spans="1:12" x14ac:dyDescent="0.25">
      <c r="A8" s="10">
        <v>43191</v>
      </c>
      <c r="B8" s="6" t="s">
        <v>36</v>
      </c>
      <c r="C8" s="19"/>
      <c r="D8" s="19">
        <v>150</v>
      </c>
      <c r="E8" s="17">
        <f t="shared" si="2"/>
        <v>43192</v>
      </c>
      <c r="F8" s="7" t="str">
        <f>INDEX(CStoreCodes!$A:$A,MATCH(B8,CStoreCodes!$E:$E,0))</f>
        <v>StoreC</v>
      </c>
      <c r="G8" s="14">
        <f t="shared" si="3"/>
        <v>150</v>
      </c>
    </row>
    <row r="9" spans="1:12" x14ac:dyDescent="0.25">
      <c r="A9" s="10">
        <v>43191</v>
      </c>
      <c r="B9" s="6" t="s">
        <v>37</v>
      </c>
      <c r="C9" s="19"/>
      <c r="D9" s="19">
        <v>2000</v>
      </c>
      <c r="E9" s="17">
        <f t="shared" si="2"/>
        <v>43192</v>
      </c>
      <c r="F9" s="7" t="str">
        <f>INDEX(CStoreCodes!$A:$A,MATCH(B9,CStoreCodes!$E:$E,0))</f>
        <v>StoreD</v>
      </c>
      <c r="G9" s="14">
        <f t="shared" si="3"/>
        <v>2000</v>
      </c>
    </row>
    <row r="10" spans="1:12" x14ac:dyDescent="0.25">
      <c r="A10" s="10">
        <v>43192</v>
      </c>
      <c r="B10" s="6" t="s">
        <v>34</v>
      </c>
      <c r="C10" s="19"/>
      <c r="D10" s="19">
        <v>699</v>
      </c>
      <c r="E10" s="17">
        <f t="shared" si="2"/>
        <v>43193</v>
      </c>
      <c r="F10" s="7" t="str">
        <f>INDEX(CStoreCodes!$A:$A,MATCH(B10,CStoreCodes!$E:$E,0))</f>
        <v>StoreA</v>
      </c>
      <c r="G10" s="14">
        <f t="shared" si="3"/>
        <v>699</v>
      </c>
    </row>
    <row r="11" spans="1:12" x14ac:dyDescent="0.25">
      <c r="A11" s="10">
        <v>43192</v>
      </c>
      <c r="B11" s="6" t="s">
        <v>35</v>
      </c>
      <c r="C11" s="19"/>
      <c r="D11" s="19">
        <v>2000</v>
      </c>
      <c r="E11" s="17">
        <f t="shared" si="2"/>
        <v>43193</v>
      </c>
      <c r="F11" s="7" t="str">
        <f>INDEX(CStoreCodes!$A:$A,MATCH(B11,CStoreCodes!$E:$E,0))</f>
        <v>StoreB</v>
      </c>
      <c r="G11" s="14">
        <f t="shared" si="3"/>
        <v>2000</v>
      </c>
    </row>
    <row r="12" spans="1:12" x14ac:dyDescent="0.25">
      <c r="A12" s="10">
        <v>43192</v>
      </c>
      <c r="B12" s="6" t="s">
        <v>36</v>
      </c>
      <c r="C12" s="19"/>
      <c r="D12" s="19">
        <v>150</v>
      </c>
      <c r="E12" s="17">
        <f t="shared" si="2"/>
        <v>43193</v>
      </c>
      <c r="F12" s="7" t="str">
        <f>INDEX(CStoreCodes!$A:$A,MATCH(B12,CStoreCodes!$E:$E,0))</f>
        <v>StoreC</v>
      </c>
      <c r="G12" s="14">
        <f t="shared" si="3"/>
        <v>150</v>
      </c>
    </row>
    <row r="13" spans="1:12" x14ac:dyDescent="0.25">
      <c r="A13" s="10">
        <v>43192</v>
      </c>
      <c r="B13" s="6" t="s">
        <v>37</v>
      </c>
      <c r="C13" s="19"/>
      <c r="D13" s="19">
        <v>2000</v>
      </c>
      <c r="E13" s="17">
        <f t="shared" si="2"/>
        <v>43193</v>
      </c>
      <c r="F13" s="7" t="str">
        <f>INDEX(CStoreCodes!$A:$A,MATCH(B13,CStoreCodes!$E:$E,0))</f>
        <v>StoreD</v>
      </c>
      <c r="G13" s="14">
        <f t="shared" si="3"/>
        <v>2000</v>
      </c>
    </row>
    <row r="14" spans="1:12" x14ac:dyDescent="0.25">
      <c r="A14" s="10">
        <v>43193</v>
      </c>
      <c r="B14" s="6" t="s">
        <v>34</v>
      </c>
      <c r="C14" s="19"/>
      <c r="D14" s="19">
        <v>300</v>
      </c>
      <c r="E14" s="17">
        <f t="shared" si="2"/>
        <v>43194</v>
      </c>
      <c r="F14" s="7" t="str">
        <f>INDEX(CStoreCodes!$A:$A,MATCH(B14,CStoreCodes!$E:$E,0))</f>
        <v>StoreA</v>
      </c>
      <c r="G14" s="14">
        <f t="shared" si="3"/>
        <v>300</v>
      </c>
    </row>
    <row r="15" spans="1:12" x14ac:dyDescent="0.25">
      <c r="A15" s="10">
        <v>43193</v>
      </c>
      <c r="B15" s="6" t="s">
        <v>35</v>
      </c>
      <c r="C15" s="19"/>
      <c r="D15" s="19">
        <v>2000</v>
      </c>
      <c r="E15" s="17">
        <f t="shared" si="2"/>
        <v>43194</v>
      </c>
      <c r="F15" s="7" t="str">
        <f>INDEX(CStoreCodes!$A:$A,MATCH(B15,CStoreCodes!$E:$E,0))</f>
        <v>StoreB</v>
      </c>
      <c r="G15" s="14">
        <f t="shared" si="3"/>
        <v>2000</v>
      </c>
    </row>
    <row r="16" spans="1:12" x14ac:dyDescent="0.25">
      <c r="A16" s="10">
        <v>43193</v>
      </c>
      <c r="B16" s="6" t="s">
        <v>36</v>
      </c>
      <c r="C16" s="19"/>
      <c r="D16" s="19">
        <v>150</v>
      </c>
      <c r="E16" s="17">
        <f t="shared" si="2"/>
        <v>43194</v>
      </c>
      <c r="F16" s="7" t="str">
        <f>INDEX(CStoreCodes!$A:$A,MATCH(B16,CStoreCodes!$E:$E,0))</f>
        <v>StoreC</v>
      </c>
      <c r="G16" s="14">
        <f t="shared" si="3"/>
        <v>150</v>
      </c>
    </row>
    <row r="17" spans="1:7" x14ac:dyDescent="0.25">
      <c r="A17" s="10">
        <v>43193</v>
      </c>
      <c r="B17" s="6" t="s">
        <v>37</v>
      </c>
      <c r="C17" s="19"/>
      <c r="D17" s="19">
        <v>2000</v>
      </c>
      <c r="E17" s="17">
        <f t="shared" si="2"/>
        <v>43194</v>
      </c>
      <c r="F17" s="7" t="str">
        <f>INDEX(CStoreCodes!$A:$A,MATCH(B17,CStoreCodes!$E:$E,0))</f>
        <v>StoreD</v>
      </c>
      <c r="G17" s="14">
        <f t="shared" si="3"/>
        <v>2000</v>
      </c>
    </row>
  </sheetData>
  <autoFilter ref="A1:G17" xr:uid="{00000000-0009-0000-0000-000003000000}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CallAddFuelTransfer">
                <anchor moveWithCells="1" sizeWithCells="1">
                  <from>
                    <xdr:col>8</xdr:col>
                    <xdr:colOff>19050</xdr:colOff>
                    <xdr:row>1</xdr:row>
                    <xdr:rowOff>9525</xdr:rowOff>
                  </from>
                  <to>
                    <xdr:col>10</xdr:col>
                    <xdr:colOff>304800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theme="5" tint="-0.249977111117893"/>
  </sheetPr>
  <dimension ref="A1:N18"/>
  <sheetViews>
    <sheetView workbookViewId="0">
      <selection activeCell="L37" sqref="L37"/>
    </sheetView>
  </sheetViews>
  <sheetFormatPr defaultRowHeight="15" x14ac:dyDescent="0.25"/>
  <cols>
    <col min="1" max="1" width="10.7109375" style="6" bestFit="1" customWidth="1"/>
    <col min="2" max="2" width="28.140625" style="6" customWidth="1"/>
    <col min="3" max="3" width="9.140625" style="19"/>
    <col min="4" max="4" width="9.5703125" style="19" bestFit="1" customWidth="1"/>
    <col min="5" max="5" width="16.7109375" style="7" customWidth="1"/>
    <col min="6" max="6" width="10.7109375" style="7" bestFit="1" customWidth="1"/>
    <col min="7" max="7" width="11.42578125" style="7" bestFit="1" customWidth="1"/>
    <col min="8" max="8" width="14.42578125" style="7" bestFit="1" customWidth="1"/>
    <col min="9" max="9" width="14" style="7" bestFit="1" customWidth="1"/>
    <col min="10" max="10" width="16" style="14" customWidth="1"/>
    <col min="12" max="12" width="24.7109375" customWidth="1"/>
    <col min="13" max="13" width="24" style="15" customWidth="1"/>
    <col min="14" max="14" width="15.5703125" customWidth="1"/>
  </cols>
  <sheetData>
    <row r="1" spans="1:14" x14ac:dyDescent="0.25">
      <c r="A1" s="8" t="s">
        <v>4</v>
      </c>
      <c r="B1" s="8" t="s">
        <v>42</v>
      </c>
      <c r="C1" s="18" t="s">
        <v>43</v>
      </c>
      <c r="D1" s="18" t="s">
        <v>44</v>
      </c>
      <c r="E1" s="9" t="s">
        <v>45</v>
      </c>
      <c r="F1" s="9" t="s">
        <v>46</v>
      </c>
      <c r="G1" s="9" t="s">
        <v>14</v>
      </c>
      <c r="H1" s="9" t="s">
        <v>48</v>
      </c>
      <c r="I1" s="9" t="s">
        <v>47</v>
      </c>
      <c r="J1" s="13" t="s">
        <v>6</v>
      </c>
    </row>
    <row r="2" spans="1:14" x14ac:dyDescent="0.25">
      <c r="A2" s="10">
        <v>43190</v>
      </c>
      <c r="B2" s="6" t="s">
        <v>50</v>
      </c>
      <c r="D2" s="19">
        <v>2000</v>
      </c>
      <c r="E2" s="17">
        <f>A2+1</f>
        <v>43191</v>
      </c>
      <c r="F2" s="7" t="str">
        <f>RIGHT(B2,4)</f>
        <v>A001</v>
      </c>
      <c r="G2" s="7" t="str">
        <f>INDEX(CStoreCodes!$A:$A,MATCH(F2,CStoreCodes!$C:$C,0))</f>
        <v>StoreA</v>
      </c>
      <c r="H2" s="7" t="str">
        <f>LEFT(B2,6)</f>
        <v>EFTPOS</v>
      </c>
      <c r="I2" s="7">
        <f>VLOOKUP(H2,CFinCodes!$A:$C,3,0)</f>
        <v>10001</v>
      </c>
      <c r="J2" s="14">
        <f>IF(C2="",D2,-C2)</f>
        <v>2000</v>
      </c>
    </row>
    <row r="3" spans="1:14" x14ac:dyDescent="0.25">
      <c r="A3" s="10">
        <v>43190</v>
      </c>
      <c r="B3" s="6" t="s">
        <v>51</v>
      </c>
      <c r="C3" s="6"/>
      <c r="D3" s="6">
        <v>2000</v>
      </c>
      <c r="E3" s="17">
        <f t="shared" ref="E3:E5" si="0">A3+1</f>
        <v>43191</v>
      </c>
      <c r="F3" s="7" t="str">
        <f t="shared" ref="F3:F5" si="1">RIGHT(B3,4)</f>
        <v>B001</v>
      </c>
      <c r="G3" s="7" t="str">
        <f>INDEX(CStoreCodes!$A:$A,MATCH(F3,CStoreCodes!$C:$C,0))</f>
        <v>StoreB</v>
      </c>
      <c r="H3" s="7" t="str">
        <f t="shared" ref="H3:H5" si="2">LEFT(B3,6)</f>
        <v>EFTPOS</v>
      </c>
      <c r="I3" s="7">
        <f>VLOOKUP(H3,CFinCodes!$A:$C,3,0)</f>
        <v>10001</v>
      </c>
      <c r="J3" s="14">
        <f t="shared" ref="J3:J5" si="3">IF(C3="",D3,-C3)</f>
        <v>2000</v>
      </c>
      <c r="M3" s="15">
        <v>43191</v>
      </c>
      <c r="N3" s="16">
        <f t="shared" ref="N3:N12" si="4">WEEKDAY(M3)</f>
        <v>1</v>
      </c>
    </row>
    <row r="4" spans="1:14" x14ac:dyDescent="0.25">
      <c r="A4" s="10">
        <v>43190</v>
      </c>
      <c r="B4" s="6" t="s">
        <v>52</v>
      </c>
      <c r="C4" s="6"/>
      <c r="D4" s="6">
        <v>150</v>
      </c>
      <c r="E4" s="17">
        <f t="shared" si="0"/>
        <v>43191</v>
      </c>
      <c r="F4" s="7" t="str">
        <f t="shared" si="1"/>
        <v>C001</v>
      </c>
      <c r="G4" s="7" t="str">
        <f>INDEX(CStoreCodes!$A:$A,MATCH(F4,CStoreCodes!$C:$C,0))</f>
        <v>StoreC</v>
      </c>
      <c r="H4" s="7" t="str">
        <f t="shared" si="2"/>
        <v>EFTPOS</v>
      </c>
      <c r="I4" s="7">
        <f>VLOOKUP(H4,CFinCodes!$A:$C,3,0)</f>
        <v>10001</v>
      </c>
      <c r="J4" s="14">
        <f t="shared" si="3"/>
        <v>150</v>
      </c>
      <c r="M4" s="15">
        <v>43192</v>
      </c>
      <c r="N4">
        <f t="shared" si="4"/>
        <v>2</v>
      </c>
    </row>
    <row r="5" spans="1:14" x14ac:dyDescent="0.25">
      <c r="A5" s="10">
        <v>43190</v>
      </c>
      <c r="B5" s="6" t="s">
        <v>53</v>
      </c>
      <c r="C5" s="6"/>
      <c r="D5" s="6">
        <v>2000</v>
      </c>
      <c r="E5" s="17">
        <f t="shared" si="0"/>
        <v>43191</v>
      </c>
      <c r="F5" s="7" t="str">
        <f t="shared" si="1"/>
        <v>D001</v>
      </c>
      <c r="G5" s="7" t="str">
        <f>INDEX(CStoreCodes!$A:$A,MATCH(F5,CStoreCodes!$C:$C,0))</f>
        <v>StoreD</v>
      </c>
      <c r="H5" s="7" t="str">
        <f t="shared" si="2"/>
        <v>EFTPOS</v>
      </c>
      <c r="I5" s="7">
        <f>VLOOKUP(H5,CFinCodes!$A:$C,3,0)</f>
        <v>10001</v>
      </c>
      <c r="J5" s="14">
        <f t="shared" si="3"/>
        <v>2000</v>
      </c>
      <c r="M5" s="15">
        <v>43193</v>
      </c>
      <c r="N5">
        <f t="shared" si="4"/>
        <v>3</v>
      </c>
    </row>
    <row r="6" spans="1:14" x14ac:dyDescent="0.25">
      <c r="A6" s="10">
        <v>43191</v>
      </c>
      <c r="B6" s="6" t="s">
        <v>50</v>
      </c>
      <c r="D6" s="19">
        <v>6000</v>
      </c>
      <c r="E6" s="17">
        <f t="shared" ref="E6:E17" si="5">A6+1</f>
        <v>43192</v>
      </c>
      <c r="F6" s="7" t="str">
        <f t="shared" ref="F6:F17" si="6">RIGHT(B6,4)</f>
        <v>A001</v>
      </c>
      <c r="G6" s="7" t="str">
        <f>INDEX(CStoreCodes!$A:$A,MATCH(F6,CStoreCodes!$C:$C,0))</f>
        <v>StoreA</v>
      </c>
      <c r="H6" s="7" t="str">
        <f t="shared" ref="H6:H17" si="7">LEFT(B6,6)</f>
        <v>EFTPOS</v>
      </c>
      <c r="I6" s="7">
        <f>VLOOKUP(H6,CFinCodes!$A:$C,3,0)</f>
        <v>10001</v>
      </c>
      <c r="J6" s="14">
        <f t="shared" ref="J6:J17" si="8">IF(C6="",D6,-C6)</f>
        <v>6000</v>
      </c>
      <c r="L6" t="s">
        <v>59</v>
      </c>
      <c r="M6" s="15">
        <v>43194</v>
      </c>
      <c r="N6">
        <f t="shared" si="4"/>
        <v>4</v>
      </c>
    </row>
    <row r="7" spans="1:14" x14ac:dyDescent="0.25">
      <c r="A7" s="10">
        <v>43191</v>
      </c>
      <c r="B7" s="6" t="s">
        <v>51</v>
      </c>
      <c r="C7" s="6"/>
      <c r="D7" s="6">
        <v>2000</v>
      </c>
      <c r="E7" s="17">
        <f t="shared" si="5"/>
        <v>43192</v>
      </c>
      <c r="F7" s="7" t="str">
        <f t="shared" si="6"/>
        <v>B001</v>
      </c>
      <c r="G7" s="7" t="str">
        <f>INDEX(CStoreCodes!$A:$A,MATCH(F7,CStoreCodes!$C:$C,0))</f>
        <v>StoreB</v>
      </c>
      <c r="H7" s="7" t="str">
        <f t="shared" si="7"/>
        <v>EFTPOS</v>
      </c>
      <c r="I7" s="7">
        <f>VLOOKUP(H7,CFinCodes!$A:$C,3,0)</f>
        <v>10001</v>
      </c>
      <c r="J7" s="14">
        <f t="shared" si="8"/>
        <v>2000</v>
      </c>
      <c r="L7" t="s">
        <v>69</v>
      </c>
      <c r="M7" s="15">
        <v>43195</v>
      </c>
      <c r="N7">
        <f t="shared" si="4"/>
        <v>5</v>
      </c>
    </row>
    <row r="8" spans="1:14" x14ac:dyDescent="0.25">
      <c r="A8" s="10">
        <v>43191</v>
      </c>
      <c r="B8" s="6" t="s">
        <v>52</v>
      </c>
      <c r="C8" s="6"/>
      <c r="D8" s="6">
        <v>150</v>
      </c>
      <c r="E8" s="17">
        <f t="shared" si="5"/>
        <v>43192</v>
      </c>
      <c r="F8" s="7" t="str">
        <f t="shared" si="6"/>
        <v>C001</v>
      </c>
      <c r="G8" s="7" t="str">
        <f>INDEX(CStoreCodes!$A:$A,MATCH(F8,CStoreCodes!$C:$C,0))</f>
        <v>StoreC</v>
      </c>
      <c r="H8" s="7" t="str">
        <f t="shared" si="7"/>
        <v>EFTPOS</v>
      </c>
      <c r="I8" s="7">
        <f>VLOOKUP(H8,CFinCodes!$A:$C,3,0)</f>
        <v>10001</v>
      </c>
      <c r="J8" s="14">
        <f t="shared" si="8"/>
        <v>150</v>
      </c>
      <c r="M8" s="15">
        <v>43196</v>
      </c>
      <c r="N8">
        <f t="shared" si="4"/>
        <v>6</v>
      </c>
    </row>
    <row r="9" spans="1:14" x14ac:dyDescent="0.25">
      <c r="A9" s="10">
        <v>43191</v>
      </c>
      <c r="B9" s="6" t="s">
        <v>53</v>
      </c>
      <c r="C9" s="6"/>
      <c r="D9" s="6">
        <v>2000</v>
      </c>
      <c r="E9" s="17">
        <f t="shared" si="5"/>
        <v>43192</v>
      </c>
      <c r="F9" s="7" t="str">
        <f t="shared" si="6"/>
        <v>D001</v>
      </c>
      <c r="G9" s="7" t="str">
        <f>INDEX(CStoreCodes!$A:$A,MATCH(F9,CStoreCodes!$C:$C,0))</f>
        <v>StoreD</v>
      </c>
      <c r="H9" s="7" t="str">
        <f t="shared" si="7"/>
        <v>EFTPOS</v>
      </c>
      <c r="I9" s="7">
        <f>VLOOKUP(H9,CFinCodes!$A:$C,3,0)</f>
        <v>10001</v>
      </c>
      <c r="J9" s="14">
        <f t="shared" si="8"/>
        <v>2000</v>
      </c>
      <c r="M9" s="15">
        <v>43197</v>
      </c>
      <c r="N9" s="16">
        <f t="shared" si="4"/>
        <v>7</v>
      </c>
    </row>
    <row r="10" spans="1:14" x14ac:dyDescent="0.25">
      <c r="A10" s="10">
        <v>43192</v>
      </c>
      <c r="B10" s="6" t="s">
        <v>50</v>
      </c>
      <c r="D10" s="19">
        <v>7000</v>
      </c>
      <c r="E10" s="17">
        <f t="shared" si="5"/>
        <v>43193</v>
      </c>
      <c r="F10" s="7" t="str">
        <f t="shared" si="6"/>
        <v>A001</v>
      </c>
      <c r="G10" s="7" t="str">
        <f>INDEX(CStoreCodes!$A:$A,MATCH(F10,CStoreCodes!$C:$C,0))</f>
        <v>StoreA</v>
      </c>
      <c r="H10" s="7" t="str">
        <f t="shared" si="7"/>
        <v>EFTPOS</v>
      </c>
      <c r="I10" s="7">
        <f>VLOOKUP(H10,CFinCodes!$A:$C,3,0)</f>
        <v>10001</v>
      </c>
      <c r="J10" s="14">
        <f t="shared" si="8"/>
        <v>7000</v>
      </c>
      <c r="M10" s="15">
        <v>43198</v>
      </c>
      <c r="N10" s="16">
        <f t="shared" si="4"/>
        <v>1</v>
      </c>
    </row>
    <row r="11" spans="1:14" x14ac:dyDescent="0.25">
      <c r="A11" s="10">
        <v>43192</v>
      </c>
      <c r="B11" s="6" t="s">
        <v>51</v>
      </c>
      <c r="C11" s="6"/>
      <c r="D11" s="6">
        <v>2000</v>
      </c>
      <c r="E11" s="17">
        <f t="shared" si="5"/>
        <v>43193</v>
      </c>
      <c r="F11" s="7" t="str">
        <f t="shared" si="6"/>
        <v>B001</v>
      </c>
      <c r="G11" s="7" t="str">
        <f>INDEX(CStoreCodes!$A:$A,MATCH(F11,CStoreCodes!$C:$C,0))</f>
        <v>StoreB</v>
      </c>
      <c r="H11" s="7" t="str">
        <f t="shared" si="7"/>
        <v>EFTPOS</v>
      </c>
      <c r="I11" s="7">
        <f>VLOOKUP(H11,CFinCodes!$A:$C,3,0)</f>
        <v>10001</v>
      </c>
      <c r="J11" s="14">
        <f t="shared" si="8"/>
        <v>2000</v>
      </c>
      <c r="M11" s="15">
        <v>43199</v>
      </c>
      <c r="N11">
        <f t="shared" si="4"/>
        <v>2</v>
      </c>
    </row>
    <row r="12" spans="1:14" x14ac:dyDescent="0.25">
      <c r="A12" s="10">
        <v>43192</v>
      </c>
      <c r="B12" s="6" t="s">
        <v>52</v>
      </c>
      <c r="C12" s="6"/>
      <c r="D12" s="6">
        <v>150</v>
      </c>
      <c r="E12" s="17">
        <f t="shared" si="5"/>
        <v>43193</v>
      </c>
      <c r="F12" s="7" t="str">
        <f t="shared" si="6"/>
        <v>C001</v>
      </c>
      <c r="G12" s="7" t="str">
        <f>INDEX(CStoreCodes!$A:$A,MATCH(F12,CStoreCodes!$C:$C,0))</f>
        <v>StoreC</v>
      </c>
      <c r="H12" s="7" t="str">
        <f t="shared" si="7"/>
        <v>EFTPOS</v>
      </c>
      <c r="I12" s="7">
        <f>VLOOKUP(H12,CFinCodes!$A:$C,3,0)</f>
        <v>10001</v>
      </c>
      <c r="J12" s="14">
        <f t="shared" si="8"/>
        <v>150</v>
      </c>
      <c r="M12" s="15">
        <v>43200</v>
      </c>
      <c r="N12">
        <f t="shared" si="4"/>
        <v>3</v>
      </c>
    </row>
    <row r="13" spans="1:14" x14ac:dyDescent="0.25">
      <c r="A13" s="10">
        <v>43192</v>
      </c>
      <c r="B13" s="6" t="s">
        <v>53</v>
      </c>
      <c r="C13" s="6"/>
      <c r="D13" s="6">
        <v>2000</v>
      </c>
      <c r="E13" s="17">
        <f t="shared" si="5"/>
        <v>43193</v>
      </c>
      <c r="F13" s="7" t="str">
        <f t="shared" si="6"/>
        <v>D001</v>
      </c>
      <c r="G13" s="7" t="str">
        <f>INDEX(CStoreCodes!$A:$A,MATCH(F13,CStoreCodes!$C:$C,0))</f>
        <v>StoreD</v>
      </c>
      <c r="H13" s="7" t="str">
        <f t="shared" si="7"/>
        <v>EFTPOS</v>
      </c>
      <c r="I13" s="7">
        <f>VLOOKUP(H13,CFinCodes!$A:$C,3,0)</f>
        <v>10001</v>
      </c>
      <c r="J13" s="14">
        <f t="shared" si="8"/>
        <v>2000</v>
      </c>
    </row>
    <row r="14" spans="1:14" x14ac:dyDescent="0.25">
      <c r="A14" s="10">
        <v>43193</v>
      </c>
      <c r="B14" s="6" t="s">
        <v>50</v>
      </c>
      <c r="D14" s="19">
        <v>3050</v>
      </c>
      <c r="E14" s="17">
        <f t="shared" si="5"/>
        <v>43194</v>
      </c>
      <c r="F14" s="7" t="str">
        <f t="shared" si="6"/>
        <v>A001</v>
      </c>
      <c r="G14" s="7" t="str">
        <f>INDEX(CStoreCodes!$A:$A,MATCH(F14,CStoreCodes!$C:$C,0))</f>
        <v>StoreA</v>
      </c>
      <c r="H14" s="7" t="str">
        <f t="shared" si="7"/>
        <v>EFTPOS</v>
      </c>
      <c r="I14" s="7">
        <f>VLOOKUP(H14,CFinCodes!$A:$C,3,0)</f>
        <v>10001</v>
      </c>
      <c r="J14" s="14">
        <f t="shared" si="8"/>
        <v>3050</v>
      </c>
      <c r="M14" s="15" t="s">
        <v>57</v>
      </c>
    </row>
    <row r="15" spans="1:14" x14ac:dyDescent="0.25">
      <c r="A15" s="10">
        <v>43193</v>
      </c>
      <c r="B15" s="6" t="s">
        <v>51</v>
      </c>
      <c r="C15" s="6"/>
      <c r="D15" s="6">
        <v>2000</v>
      </c>
      <c r="E15" s="17">
        <f t="shared" si="5"/>
        <v>43194</v>
      </c>
      <c r="F15" s="7" t="str">
        <f t="shared" si="6"/>
        <v>B001</v>
      </c>
      <c r="G15" s="7" t="str">
        <f>INDEX(CStoreCodes!$A:$A,MATCH(F15,CStoreCodes!$C:$C,0))</f>
        <v>StoreB</v>
      </c>
      <c r="H15" s="7" t="str">
        <f t="shared" si="7"/>
        <v>EFTPOS</v>
      </c>
      <c r="I15" s="7">
        <f>VLOOKUP(H15,CFinCodes!$A:$C,3,0)</f>
        <v>10001</v>
      </c>
      <c r="J15" s="14">
        <f t="shared" si="8"/>
        <v>2000</v>
      </c>
    </row>
    <row r="16" spans="1:14" x14ac:dyDescent="0.25">
      <c r="A16" s="10">
        <v>43193</v>
      </c>
      <c r="B16" s="6" t="s">
        <v>52</v>
      </c>
      <c r="C16" s="6"/>
      <c r="D16" s="6">
        <v>150</v>
      </c>
      <c r="E16" s="17">
        <f t="shared" si="5"/>
        <v>43194</v>
      </c>
      <c r="F16" s="7" t="str">
        <f t="shared" si="6"/>
        <v>C001</v>
      </c>
      <c r="G16" s="7" t="str">
        <f>INDEX(CStoreCodes!$A:$A,MATCH(F16,CStoreCodes!$C:$C,0))</f>
        <v>StoreC</v>
      </c>
      <c r="H16" s="7" t="str">
        <f t="shared" si="7"/>
        <v>EFTPOS</v>
      </c>
      <c r="I16" s="7">
        <f>VLOOKUP(H16,CFinCodes!$A:$C,3,0)</f>
        <v>10001</v>
      </c>
      <c r="J16" s="14">
        <f t="shared" si="8"/>
        <v>150</v>
      </c>
    </row>
    <row r="17" spans="1:10" x14ac:dyDescent="0.25">
      <c r="A17" s="10">
        <v>43193</v>
      </c>
      <c r="B17" s="6" t="s">
        <v>53</v>
      </c>
      <c r="C17" s="6"/>
      <c r="D17" s="6">
        <v>2000</v>
      </c>
      <c r="E17" s="17">
        <f t="shared" si="5"/>
        <v>43194</v>
      </c>
      <c r="F17" s="7" t="str">
        <f t="shared" si="6"/>
        <v>D001</v>
      </c>
      <c r="G17" s="7" t="str">
        <f>INDEX(CStoreCodes!$A:$A,MATCH(F17,CStoreCodes!$C:$C,0))</f>
        <v>StoreD</v>
      </c>
      <c r="H17" s="7" t="str">
        <f t="shared" si="7"/>
        <v>EFTPOS</v>
      </c>
      <c r="I17" s="7">
        <f>VLOOKUP(H17,CFinCodes!$A:$C,3,0)</f>
        <v>10001</v>
      </c>
      <c r="J17" s="14">
        <f t="shared" si="8"/>
        <v>2000</v>
      </c>
    </row>
    <row r="18" spans="1:10" x14ac:dyDescent="0.25">
      <c r="C18" s="6"/>
      <c r="D18" s="6"/>
    </row>
  </sheetData>
  <autoFilter ref="A1:J18" xr:uid="{00000000-0009-0000-0000-000004000000}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CallAddBSTransfer">
                <anchor moveWithCells="1" sizeWithCells="1">
                  <from>
                    <xdr:col>10</xdr:col>
                    <xdr:colOff>104775</xdr:colOff>
                    <xdr:row>1</xdr:row>
                    <xdr:rowOff>133350</xdr:rowOff>
                  </from>
                  <to>
                    <xdr:col>12</xdr:col>
                    <xdr:colOff>28575</xdr:colOff>
                    <xdr:row>4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>
    <tabColor theme="7" tint="-0.499984740745262"/>
  </sheetPr>
  <dimension ref="A1:M65"/>
  <sheetViews>
    <sheetView workbookViewId="0">
      <selection activeCell="I15" sqref="I15"/>
    </sheetView>
  </sheetViews>
  <sheetFormatPr defaultRowHeight="15" x14ac:dyDescent="0.25"/>
  <cols>
    <col min="1" max="1" width="3" bestFit="1" customWidth="1"/>
    <col min="2" max="2" width="15.28515625" bestFit="1" customWidth="1"/>
    <col min="3" max="3" width="12.28515625" bestFit="1" customWidth="1"/>
    <col min="4" max="4" width="11" bestFit="1" customWidth="1"/>
    <col min="5" max="5" width="7.85546875" bestFit="1" customWidth="1"/>
    <col min="6" max="6" width="8.28515625" bestFit="1" customWidth="1"/>
    <col min="7" max="7" width="8.140625" bestFit="1" customWidth="1"/>
    <col min="11" max="11" width="17.5703125" bestFit="1" customWidth="1"/>
    <col min="12" max="12" width="13.28515625" bestFit="1" customWidth="1"/>
    <col min="13" max="13" width="10.140625" customWidth="1"/>
  </cols>
  <sheetData>
    <row r="1" spans="1:13" x14ac:dyDescent="0.25">
      <c r="A1" t="s">
        <v>60</v>
      </c>
      <c r="B1" t="s">
        <v>61</v>
      </c>
      <c r="C1" t="s">
        <v>62</v>
      </c>
      <c r="D1" t="s">
        <v>5</v>
      </c>
      <c r="E1" t="s">
        <v>63</v>
      </c>
      <c r="F1" t="s">
        <v>64</v>
      </c>
      <c r="G1" t="s">
        <v>6</v>
      </c>
    </row>
    <row r="2" spans="1:13" x14ac:dyDescent="0.25">
      <c r="A2">
        <v>1</v>
      </c>
      <c r="B2" s="69">
        <v>43191</v>
      </c>
      <c r="C2" t="s">
        <v>50</v>
      </c>
      <c r="D2" t="s">
        <v>7</v>
      </c>
      <c r="E2" t="s">
        <v>9</v>
      </c>
      <c r="F2" t="s">
        <v>75</v>
      </c>
      <c r="G2">
        <v>2000</v>
      </c>
      <c r="K2" s="74" t="s">
        <v>70</v>
      </c>
      <c r="M2" s="74" t="s">
        <v>63</v>
      </c>
    </row>
    <row r="3" spans="1:13" x14ac:dyDescent="0.25">
      <c r="A3">
        <v>2</v>
      </c>
      <c r="B3" s="69">
        <v>43191</v>
      </c>
      <c r="C3" t="s">
        <v>51</v>
      </c>
      <c r="D3" t="s">
        <v>11</v>
      </c>
      <c r="E3" t="s">
        <v>9</v>
      </c>
      <c r="F3" t="s">
        <v>76</v>
      </c>
      <c r="G3">
        <v>2000</v>
      </c>
      <c r="K3" s="74" t="s">
        <v>61</v>
      </c>
      <c r="L3" s="74" t="s">
        <v>5</v>
      </c>
      <c r="M3" t="s">
        <v>9</v>
      </c>
    </row>
    <row r="4" spans="1:13" x14ac:dyDescent="0.25">
      <c r="A4">
        <v>3</v>
      </c>
      <c r="B4" s="69">
        <v>43191</v>
      </c>
      <c r="C4" t="s">
        <v>52</v>
      </c>
      <c r="D4" t="s">
        <v>12</v>
      </c>
      <c r="E4" t="s">
        <v>9</v>
      </c>
      <c r="F4" t="s">
        <v>76</v>
      </c>
      <c r="G4">
        <v>150</v>
      </c>
      <c r="K4" s="69">
        <v>43191</v>
      </c>
      <c r="L4" t="s">
        <v>7</v>
      </c>
      <c r="M4" s="70">
        <v>8000</v>
      </c>
    </row>
    <row r="5" spans="1:13" x14ac:dyDescent="0.25">
      <c r="A5">
        <v>4</v>
      </c>
      <c r="B5" s="69">
        <v>43191</v>
      </c>
      <c r="C5" t="s">
        <v>53</v>
      </c>
      <c r="D5" t="s">
        <v>13</v>
      </c>
      <c r="E5" t="s">
        <v>9</v>
      </c>
      <c r="F5" t="s">
        <v>76</v>
      </c>
      <c r="G5">
        <v>2000</v>
      </c>
      <c r="K5" s="69">
        <v>43191</v>
      </c>
      <c r="L5" t="s">
        <v>11</v>
      </c>
      <c r="M5" s="70">
        <v>8000</v>
      </c>
    </row>
    <row r="6" spans="1:13" x14ac:dyDescent="0.25">
      <c r="A6">
        <v>5</v>
      </c>
      <c r="B6" s="69">
        <v>43192</v>
      </c>
      <c r="C6" t="s">
        <v>50</v>
      </c>
      <c r="D6" t="s">
        <v>7</v>
      </c>
      <c r="E6" t="s">
        <v>9</v>
      </c>
      <c r="F6" t="s">
        <v>76</v>
      </c>
      <c r="G6">
        <v>6000</v>
      </c>
      <c r="K6" s="69">
        <v>43191</v>
      </c>
      <c r="L6" t="s">
        <v>12</v>
      </c>
      <c r="M6" s="70">
        <v>600</v>
      </c>
    </row>
    <row r="7" spans="1:13" x14ac:dyDescent="0.25">
      <c r="A7">
        <v>6</v>
      </c>
      <c r="B7" s="69">
        <v>43192</v>
      </c>
      <c r="C7" t="s">
        <v>51</v>
      </c>
      <c r="D7" t="s">
        <v>11</v>
      </c>
      <c r="E7" t="s">
        <v>9</v>
      </c>
      <c r="F7" t="s">
        <v>76</v>
      </c>
      <c r="G7">
        <v>2000</v>
      </c>
      <c r="K7" s="69">
        <v>43191</v>
      </c>
      <c r="L7" t="s">
        <v>13</v>
      </c>
      <c r="M7" s="70">
        <v>8000</v>
      </c>
    </row>
    <row r="8" spans="1:13" x14ac:dyDescent="0.25">
      <c r="A8">
        <v>7</v>
      </c>
      <c r="B8" s="69">
        <v>43192</v>
      </c>
      <c r="C8" t="s">
        <v>52</v>
      </c>
      <c r="D8" t="s">
        <v>12</v>
      </c>
      <c r="E8" t="s">
        <v>9</v>
      </c>
      <c r="F8" t="s">
        <v>76</v>
      </c>
      <c r="G8">
        <v>150</v>
      </c>
      <c r="K8" s="69" t="s">
        <v>71</v>
      </c>
      <c r="M8" s="70">
        <v>24600</v>
      </c>
    </row>
    <row r="9" spans="1:13" x14ac:dyDescent="0.25">
      <c r="A9">
        <v>8</v>
      </c>
      <c r="B9" s="69">
        <v>43192</v>
      </c>
      <c r="C9" t="s">
        <v>53</v>
      </c>
      <c r="D9" t="s">
        <v>13</v>
      </c>
      <c r="E9" t="s">
        <v>9</v>
      </c>
      <c r="F9" t="s">
        <v>76</v>
      </c>
      <c r="G9">
        <v>2000</v>
      </c>
      <c r="K9" s="69">
        <v>43192</v>
      </c>
      <c r="L9" t="s">
        <v>7</v>
      </c>
      <c r="M9" s="70">
        <v>24000</v>
      </c>
    </row>
    <row r="10" spans="1:13" x14ac:dyDescent="0.25">
      <c r="A10">
        <v>9</v>
      </c>
      <c r="B10" s="69">
        <v>43193</v>
      </c>
      <c r="C10" t="s">
        <v>50</v>
      </c>
      <c r="D10" t="s">
        <v>7</v>
      </c>
      <c r="E10" t="s">
        <v>9</v>
      </c>
      <c r="F10" t="s">
        <v>76</v>
      </c>
      <c r="G10">
        <v>7000</v>
      </c>
      <c r="K10" s="69">
        <v>43192</v>
      </c>
      <c r="L10" t="s">
        <v>11</v>
      </c>
      <c r="M10" s="70">
        <v>8000</v>
      </c>
    </row>
    <row r="11" spans="1:13" x14ac:dyDescent="0.25">
      <c r="A11">
        <v>10</v>
      </c>
      <c r="B11" s="69">
        <v>43193</v>
      </c>
      <c r="C11" t="s">
        <v>51</v>
      </c>
      <c r="D11" t="s">
        <v>11</v>
      </c>
      <c r="E11" t="s">
        <v>9</v>
      </c>
      <c r="F11" t="s">
        <v>76</v>
      </c>
      <c r="G11">
        <v>2000</v>
      </c>
      <c r="K11" s="69">
        <v>43192</v>
      </c>
      <c r="L11" t="s">
        <v>12</v>
      </c>
      <c r="M11" s="70">
        <v>600</v>
      </c>
    </row>
    <row r="12" spans="1:13" x14ac:dyDescent="0.25">
      <c r="A12">
        <v>11</v>
      </c>
      <c r="B12" s="69">
        <v>43193</v>
      </c>
      <c r="C12" t="s">
        <v>52</v>
      </c>
      <c r="D12" t="s">
        <v>12</v>
      </c>
      <c r="E12" t="s">
        <v>9</v>
      </c>
      <c r="F12" t="s">
        <v>76</v>
      </c>
      <c r="G12">
        <v>150</v>
      </c>
      <c r="K12" s="69">
        <v>43192</v>
      </c>
      <c r="L12" t="s">
        <v>13</v>
      </c>
      <c r="M12" s="70">
        <v>8000</v>
      </c>
    </row>
    <row r="13" spans="1:13" x14ac:dyDescent="0.25">
      <c r="A13">
        <v>12</v>
      </c>
      <c r="B13" s="69">
        <v>43193</v>
      </c>
      <c r="C13" t="s">
        <v>53</v>
      </c>
      <c r="D13" t="s">
        <v>13</v>
      </c>
      <c r="E13" t="s">
        <v>9</v>
      </c>
      <c r="F13" t="s">
        <v>76</v>
      </c>
      <c r="G13">
        <v>2000</v>
      </c>
      <c r="K13" s="69" t="s">
        <v>72</v>
      </c>
      <c r="M13" s="70">
        <v>40600</v>
      </c>
    </row>
    <row r="14" spans="1:13" x14ac:dyDescent="0.25">
      <c r="A14">
        <v>13</v>
      </c>
      <c r="B14" s="69">
        <v>43194</v>
      </c>
      <c r="C14" t="s">
        <v>50</v>
      </c>
      <c r="D14" t="s">
        <v>7</v>
      </c>
      <c r="E14" t="s">
        <v>9</v>
      </c>
      <c r="F14" t="s">
        <v>76</v>
      </c>
      <c r="G14">
        <v>3050</v>
      </c>
      <c r="K14" s="69">
        <v>43193</v>
      </c>
      <c r="L14" t="s">
        <v>7</v>
      </c>
      <c r="M14" s="70">
        <v>28000</v>
      </c>
    </row>
    <row r="15" spans="1:13" x14ac:dyDescent="0.25">
      <c r="A15">
        <v>14</v>
      </c>
      <c r="B15" s="69">
        <v>43194</v>
      </c>
      <c r="C15" t="s">
        <v>51</v>
      </c>
      <c r="D15" t="s">
        <v>11</v>
      </c>
      <c r="E15" t="s">
        <v>9</v>
      </c>
      <c r="F15" t="s">
        <v>76</v>
      </c>
      <c r="G15">
        <v>2000</v>
      </c>
      <c r="K15" s="69">
        <v>43193</v>
      </c>
      <c r="L15" t="s">
        <v>11</v>
      </c>
      <c r="M15" s="70">
        <v>8000</v>
      </c>
    </row>
    <row r="16" spans="1:13" x14ac:dyDescent="0.25">
      <c r="A16">
        <v>15</v>
      </c>
      <c r="B16" s="69">
        <v>43194</v>
      </c>
      <c r="C16" t="s">
        <v>52</v>
      </c>
      <c r="D16" t="s">
        <v>12</v>
      </c>
      <c r="E16" t="s">
        <v>9</v>
      </c>
      <c r="F16" t="s">
        <v>76</v>
      </c>
      <c r="G16">
        <v>150</v>
      </c>
      <c r="K16" s="69">
        <v>43193</v>
      </c>
      <c r="L16" t="s">
        <v>12</v>
      </c>
      <c r="M16" s="70">
        <v>600</v>
      </c>
    </row>
    <row r="17" spans="1:13" x14ac:dyDescent="0.25">
      <c r="A17">
        <v>16</v>
      </c>
      <c r="B17" s="69">
        <v>43194</v>
      </c>
      <c r="C17" t="s">
        <v>53</v>
      </c>
      <c r="D17" t="s">
        <v>13</v>
      </c>
      <c r="E17" t="s">
        <v>9</v>
      </c>
      <c r="F17" t="s">
        <v>76</v>
      </c>
      <c r="G17">
        <v>2000</v>
      </c>
      <c r="K17" s="69">
        <v>43193</v>
      </c>
      <c r="L17" t="s">
        <v>13</v>
      </c>
      <c r="M17" s="70">
        <v>8000</v>
      </c>
    </row>
    <row r="18" spans="1:13" x14ac:dyDescent="0.25">
      <c r="A18">
        <v>17</v>
      </c>
      <c r="B18" s="69">
        <v>43191</v>
      </c>
      <c r="C18" t="s">
        <v>50</v>
      </c>
      <c r="D18" t="s">
        <v>7</v>
      </c>
      <c r="E18" t="s">
        <v>9</v>
      </c>
      <c r="F18" t="s">
        <v>76</v>
      </c>
      <c r="G18">
        <v>2000</v>
      </c>
      <c r="K18" s="69" t="s">
        <v>73</v>
      </c>
      <c r="M18" s="70">
        <v>44600</v>
      </c>
    </row>
    <row r="19" spans="1:13" x14ac:dyDescent="0.25">
      <c r="A19">
        <v>18</v>
      </c>
      <c r="B19" s="69">
        <v>43191</v>
      </c>
      <c r="C19" t="s">
        <v>51</v>
      </c>
      <c r="D19" t="s">
        <v>11</v>
      </c>
      <c r="E19" t="s">
        <v>9</v>
      </c>
      <c r="F19" t="s">
        <v>76</v>
      </c>
      <c r="G19">
        <v>2000</v>
      </c>
      <c r="K19" s="69">
        <v>43194</v>
      </c>
      <c r="L19" t="s">
        <v>7</v>
      </c>
      <c r="M19" s="70">
        <v>12200</v>
      </c>
    </row>
    <row r="20" spans="1:13" x14ac:dyDescent="0.25">
      <c r="A20">
        <v>19</v>
      </c>
      <c r="B20" s="69">
        <v>43191</v>
      </c>
      <c r="C20" t="s">
        <v>52</v>
      </c>
      <c r="D20" t="s">
        <v>12</v>
      </c>
      <c r="E20" t="s">
        <v>9</v>
      </c>
      <c r="F20" t="s">
        <v>76</v>
      </c>
      <c r="G20">
        <v>150</v>
      </c>
      <c r="K20" s="69">
        <v>43194</v>
      </c>
      <c r="L20" t="s">
        <v>11</v>
      </c>
      <c r="M20" s="70">
        <v>8000</v>
      </c>
    </row>
    <row r="21" spans="1:13" x14ac:dyDescent="0.25">
      <c r="A21">
        <v>20</v>
      </c>
      <c r="B21" s="69">
        <v>43191</v>
      </c>
      <c r="C21" t="s">
        <v>53</v>
      </c>
      <c r="D21" t="s">
        <v>13</v>
      </c>
      <c r="E21" t="s">
        <v>9</v>
      </c>
      <c r="F21" t="s">
        <v>76</v>
      </c>
      <c r="G21">
        <v>2000</v>
      </c>
      <c r="K21" s="69">
        <v>43194</v>
      </c>
      <c r="L21" t="s">
        <v>12</v>
      </c>
      <c r="M21" s="70">
        <v>600</v>
      </c>
    </row>
    <row r="22" spans="1:13" x14ac:dyDescent="0.25">
      <c r="A22">
        <v>21</v>
      </c>
      <c r="B22" s="69">
        <v>43192</v>
      </c>
      <c r="C22" t="s">
        <v>50</v>
      </c>
      <c r="D22" t="s">
        <v>7</v>
      </c>
      <c r="E22" t="s">
        <v>9</v>
      </c>
      <c r="F22" t="s">
        <v>76</v>
      </c>
      <c r="G22">
        <v>6000</v>
      </c>
      <c r="K22" s="69">
        <v>43194</v>
      </c>
      <c r="L22" t="s">
        <v>13</v>
      </c>
      <c r="M22" s="70">
        <v>8000</v>
      </c>
    </row>
    <row r="23" spans="1:13" x14ac:dyDescent="0.25">
      <c r="A23">
        <v>22</v>
      </c>
      <c r="B23" s="69">
        <v>43192</v>
      </c>
      <c r="C23" t="s">
        <v>51</v>
      </c>
      <c r="D23" t="s">
        <v>11</v>
      </c>
      <c r="E23" t="s">
        <v>9</v>
      </c>
      <c r="F23" t="s">
        <v>76</v>
      </c>
      <c r="G23">
        <v>2000</v>
      </c>
      <c r="K23" s="69" t="s">
        <v>74</v>
      </c>
      <c r="M23" s="70">
        <v>28800</v>
      </c>
    </row>
    <row r="24" spans="1:13" x14ac:dyDescent="0.25">
      <c r="A24">
        <v>23</v>
      </c>
      <c r="B24" s="69">
        <v>43192</v>
      </c>
      <c r="C24" t="s">
        <v>52</v>
      </c>
      <c r="D24" t="s">
        <v>12</v>
      </c>
      <c r="E24" t="s">
        <v>9</v>
      </c>
      <c r="F24" t="s">
        <v>76</v>
      </c>
      <c r="G24">
        <v>150</v>
      </c>
    </row>
    <row r="25" spans="1:13" x14ac:dyDescent="0.25">
      <c r="A25">
        <v>24</v>
      </c>
      <c r="B25" s="69">
        <v>43192</v>
      </c>
      <c r="C25" t="s">
        <v>53</v>
      </c>
      <c r="D25" t="s">
        <v>13</v>
      </c>
      <c r="E25" t="s">
        <v>9</v>
      </c>
      <c r="F25" t="s">
        <v>76</v>
      </c>
      <c r="G25">
        <v>2000</v>
      </c>
    </row>
    <row r="26" spans="1:13" x14ac:dyDescent="0.25">
      <c r="A26">
        <v>25</v>
      </c>
      <c r="B26" s="69">
        <v>43193</v>
      </c>
      <c r="C26" t="s">
        <v>50</v>
      </c>
      <c r="D26" t="s">
        <v>7</v>
      </c>
      <c r="E26" t="s">
        <v>9</v>
      </c>
      <c r="F26" t="s">
        <v>76</v>
      </c>
      <c r="G26">
        <v>7000</v>
      </c>
    </row>
    <row r="27" spans="1:13" x14ac:dyDescent="0.25">
      <c r="A27">
        <v>26</v>
      </c>
      <c r="B27" s="69">
        <v>43193</v>
      </c>
      <c r="C27" t="s">
        <v>51</v>
      </c>
      <c r="D27" t="s">
        <v>11</v>
      </c>
      <c r="E27" t="s">
        <v>9</v>
      </c>
      <c r="F27" t="s">
        <v>76</v>
      </c>
      <c r="G27">
        <v>2000</v>
      </c>
    </row>
    <row r="28" spans="1:13" x14ac:dyDescent="0.25">
      <c r="A28">
        <v>27</v>
      </c>
      <c r="B28" s="69">
        <v>43193</v>
      </c>
      <c r="C28" t="s">
        <v>52</v>
      </c>
      <c r="D28" t="s">
        <v>12</v>
      </c>
      <c r="E28" t="s">
        <v>9</v>
      </c>
      <c r="F28" t="s">
        <v>76</v>
      </c>
      <c r="G28">
        <v>150</v>
      </c>
    </row>
    <row r="29" spans="1:13" x14ac:dyDescent="0.25">
      <c r="A29">
        <v>28</v>
      </c>
      <c r="B29" s="69">
        <v>43193</v>
      </c>
      <c r="C29" t="s">
        <v>53</v>
      </c>
      <c r="D29" t="s">
        <v>13</v>
      </c>
      <c r="E29" t="s">
        <v>9</v>
      </c>
      <c r="F29" t="s">
        <v>76</v>
      </c>
      <c r="G29">
        <v>2000</v>
      </c>
    </row>
    <row r="30" spans="1:13" x14ac:dyDescent="0.25">
      <c r="A30">
        <v>29</v>
      </c>
      <c r="B30" s="69">
        <v>43194</v>
      </c>
      <c r="C30" t="s">
        <v>50</v>
      </c>
      <c r="D30" t="s">
        <v>7</v>
      </c>
      <c r="E30" t="s">
        <v>9</v>
      </c>
      <c r="F30" t="s">
        <v>76</v>
      </c>
      <c r="G30">
        <v>3050</v>
      </c>
    </row>
    <row r="31" spans="1:13" x14ac:dyDescent="0.25">
      <c r="A31">
        <v>30</v>
      </c>
      <c r="B31" s="69">
        <v>43194</v>
      </c>
      <c r="C31" t="s">
        <v>51</v>
      </c>
      <c r="D31" t="s">
        <v>11</v>
      </c>
      <c r="E31" t="s">
        <v>9</v>
      </c>
      <c r="F31" t="s">
        <v>76</v>
      </c>
      <c r="G31">
        <v>2000</v>
      </c>
    </row>
    <row r="32" spans="1:13" x14ac:dyDescent="0.25">
      <c r="A32">
        <v>31</v>
      </c>
      <c r="B32" s="69">
        <v>43194</v>
      </c>
      <c r="C32" t="s">
        <v>52</v>
      </c>
      <c r="D32" t="s">
        <v>12</v>
      </c>
      <c r="E32" t="s">
        <v>9</v>
      </c>
      <c r="F32" t="s">
        <v>76</v>
      </c>
      <c r="G32">
        <v>150</v>
      </c>
    </row>
    <row r="33" spans="1:7" x14ac:dyDescent="0.25">
      <c r="A33">
        <v>32</v>
      </c>
      <c r="B33" s="69">
        <v>43194</v>
      </c>
      <c r="C33" t="s">
        <v>53</v>
      </c>
      <c r="D33" t="s">
        <v>13</v>
      </c>
      <c r="E33" t="s">
        <v>9</v>
      </c>
      <c r="F33" t="s">
        <v>76</v>
      </c>
      <c r="G33">
        <v>2000</v>
      </c>
    </row>
    <row r="34" spans="1:7" x14ac:dyDescent="0.25">
      <c r="A34">
        <v>33</v>
      </c>
      <c r="B34" s="69">
        <v>43191</v>
      </c>
      <c r="C34" t="s">
        <v>50</v>
      </c>
      <c r="D34" t="s">
        <v>7</v>
      </c>
      <c r="E34" t="s">
        <v>9</v>
      </c>
      <c r="F34" t="s">
        <v>76</v>
      </c>
      <c r="G34">
        <v>2000</v>
      </c>
    </row>
    <row r="35" spans="1:7" x14ac:dyDescent="0.25">
      <c r="A35">
        <v>34</v>
      </c>
      <c r="B35" s="69">
        <v>43191</v>
      </c>
      <c r="C35" t="s">
        <v>51</v>
      </c>
      <c r="D35" t="s">
        <v>11</v>
      </c>
      <c r="E35" t="s">
        <v>9</v>
      </c>
      <c r="F35" t="s">
        <v>76</v>
      </c>
      <c r="G35">
        <v>2000</v>
      </c>
    </row>
    <row r="36" spans="1:7" x14ac:dyDescent="0.25">
      <c r="A36">
        <v>35</v>
      </c>
      <c r="B36" s="69">
        <v>43191</v>
      </c>
      <c r="C36" t="s">
        <v>52</v>
      </c>
      <c r="D36" t="s">
        <v>12</v>
      </c>
      <c r="E36" t="s">
        <v>9</v>
      </c>
      <c r="F36" t="s">
        <v>76</v>
      </c>
      <c r="G36">
        <v>150</v>
      </c>
    </row>
    <row r="37" spans="1:7" x14ac:dyDescent="0.25">
      <c r="A37">
        <v>36</v>
      </c>
      <c r="B37" s="69">
        <v>43191</v>
      </c>
      <c r="C37" t="s">
        <v>53</v>
      </c>
      <c r="D37" t="s">
        <v>13</v>
      </c>
      <c r="E37" t="s">
        <v>9</v>
      </c>
      <c r="F37" t="s">
        <v>76</v>
      </c>
      <c r="G37">
        <v>2000</v>
      </c>
    </row>
    <row r="38" spans="1:7" x14ac:dyDescent="0.25">
      <c r="A38">
        <v>37</v>
      </c>
      <c r="B38" s="69">
        <v>43192</v>
      </c>
      <c r="C38" t="s">
        <v>50</v>
      </c>
      <c r="D38" t="s">
        <v>7</v>
      </c>
      <c r="E38" t="s">
        <v>9</v>
      </c>
      <c r="F38" t="s">
        <v>76</v>
      </c>
      <c r="G38">
        <v>6000</v>
      </c>
    </row>
    <row r="39" spans="1:7" x14ac:dyDescent="0.25">
      <c r="A39">
        <v>38</v>
      </c>
      <c r="B39" s="69">
        <v>43192</v>
      </c>
      <c r="C39" t="s">
        <v>51</v>
      </c>
      <c r="D39" t="s">
        <v>11</v>
      </c>
      <c r="E39" t="s">
        <v>9</v>
      </c>
      <c r="F39" t="s">
        <v>76</v>
      </c>
      <c r="G39">
        <v>2000</v>
      </c>
    </row>
    <row r="40" spans="1:7" x14ac:dyDescent="0.25">
      <c r="A40">
        <v>39</v>
      </c>
      <c r="B40" s="69">
        <v>43192</v>
      </c>
      <c r="C40" t="s">
        <v>52</v>
      </c>
      <c r="D40" t="s">
        <v>12</v>
      </c>
      <c r="E40" t="s">
        <v>9</v>
      </c>
      <c r="F40" t="s">
        <v>76</v>
      </c>
      <c r="G40">
        <v>150</v>
      </c>
    </row>
    <row r="41" spans="1:7" x14ac:dyDescent="0.25">
      <c r="A41">
        <v>40</v>
      </c>
      <c r="B41" s="69">
        <v>43192</v>
      </c>
      <c r="C41" t="s">
        <v>53</v>
      </c>
      <c r="D41" t="s">
        <v>13</v>
      </c>
      <c r="E41" t="s">
        <v>9</v>
      </c>
      <c r="F41" t="s">
        <v>76</v>
      </c>
      <c r="G41">
        <v>2000</v>
      </c>
    </row>
    <row r="42" spans="1:7" x14ac:dyDescent="0.25">
      <c r="A42">
        <v>41</v>
      </c>
      <c r="B42" s="69">
        <v>43193</v>
      </c>
      <c r="C42" t="s">
        <v>50</v>
      </c>
      <c r="D42" t="s">
        <v>7</v>
      </c>
      <c r="E42" t="s">
        <v>9</v>
      </c>
      <c r="F42" t="s">
        <v>76</v>
      </c>
      <c r="G42">
        <v>7000</v>
      </c>
    </row>
    <row r="43" spans="1:7" x14ac:dyDescent="0.25">
      <c r="A43">
        <v>42</v>
      </c>
      <c r="B43" s="69">
        <v>43193</v>
      </c>
      <c r="C43" t="s">
        <v>51</v>
      </c>
      <c r="D43" t="s">
        <v>11</v>
      </c>
      <c r="E43" t="s">
        <v>9</v>
      </c>
      <c r="F43" t="s">
        <v>76</v>
      </c>
      <c r="G43">
        <v>2000</v>
      </c>
    </row>
    <row r="44" spans="1:7" x14ac:dyDescent="0.25">
      <c r="A44">
        <v>43</v>
      </c>
      <c r="B44" s="69">
        <v>43193</v>
      </c>
      <c r="C44" t="s">
        <v>52</v>
      </c>
      <c r="D44" t="s">
        <v>12</v>
      </c>
      <c r="E44" t="s">
        <v>9</v>
      </c>
      <c r="F44" t="s">
        <v>76</v>
      </c>
      <c r="G44">
        <v>150</v>
      </c>
    </row>
    <row r="45" spans="1:7" x14ac:dyDescent="0.25">
      <c r="A45">
        <v>44</v>
      </c>
      <c r="B45" s="69">
        <v>43193</v>
      </c>
      <c r="C45" t="s">
        <v>53</v>
      </c>
      <c r="D45" t="s">
        <v>13</v>
      </c>
      <c r="E45" t="s">
        <v>9</v>
      </c>
      <c r="F45" t="s">
        <v>76</v>
      </c>
      <c r="G45">
        <v>2000</v>
      </c>
    </row>
    <row r="46" spans="1:7" x14ac:dyDescent="0.25">
      <c r="A46">
        <v>45</v>
      </c>
      <c r="B46" s="69">
        <v>43194</v>
      </c>
      <c r="C46" t="s">
        <v>50</v>
      </c>
      <c r="D46" t="s">
        <v>7</v>
      </c>
      <c r="E46" t="s">
        <v>9</v>
      </c>
      <c r="F46" t="s">
        <v>76</v>
      </c>
      <c r="G46">
        <v>3050</v>
      </c>
    </row>
    <row r="47" spans="1:7" x14ac:dyDescent="0.25">
      <c r="A47">
        <v>46</v>
      </c>
      <c r="B47" s="69">
        <v>43194</v>
      </c>
      <c r="C47" t="s">
        <v>51</v>
      </c>
      <c r="D47" t="s">
        <v>11</v>
      </c>
      <c r="E47" t="s">
        <v>9</v>
      </c>
      <c r="F47" t="s">
        <v>76</v>
      </c>
      <c r="G47">
        <v>2000</v>
      </c>
    </row>
    <row r="48" spans="1:7" x14ac:dyDescent="0.25">
      <c r="A48">
        <v>47</v>
      </c>
      <c r="B48" s="69">
        <v>43194</v>
      </c>
      <c r="C48" t="s">
        <v>52</v>
      </c>
      <c r="D48" t="s">
        <v>12</v>
      </c>
      <c r="E48" t="s">
        <v>9</v>
      </c>
      <c r="F48" t="s">
        <v>76</v>
      </c>
      <c r="G48">
        <v>150</v>
      </c>
    </row>
    <row r="49" spans="1:7" x14ac:dyDescent="0.25">
      <c r="A49">
        <v>48</v>
      </c>
      <c r="B49" s="69">
        <v>43194</v>
      </c>
      <c r="C49" t="s">
        <v>53</v>
      </c>
      <c r="D49" t="s">
        <v>13</v>
      </c>
      <c r="E49" t="s">
        <v>9</v>
      </c>
      <c r="F49" t="s">
        <v>76</v>
      </c>
      <c r="G49">
        <v>2000</v>
      </c>
    </row>
    <row r="50" spans="1:7" x14ac:dyDescent="0.25">
      <c r="A50">
        <v>49</v>
      </c>
      <c r="B50" s="69">
        <v>43191</v>
      </c>
      <c r="C50" t="s">
        <v>50</v>
      </c>
      <c r="D50" t="s">
        <v>7</v>
      </c>
      <c r="E50" t="s">
        <v>9</v>
      </c>
      <c r="F50" t="s">
        <v>76</v>
      </c>
      <c r="G50">
        <v>2000</v>
      </c>
    </row>
    <row r="51" spans="1:7" x14ac:dyDescent="0.25">
      <c r="A51">
        <v>50</v>
      </c>
      <c r="B51" s="69">
        <v>43191</v>
      </c>
      <c r="C51" t="s">
        <v>51</v>
      </c>
      <c r="D51" t="s">
        <v>11</v>
      </c>
      <c r="E51" t="s">
        <v>9</v>
      </c>
      <c r="F51" t="s">
        <v>76</v>
      </c>
      <c r="G51">
        <v>2000</v>
      </c>
    </row>
    <row r="52" spans="1:7" x14ac:dyDescent="0.25">
      <c r="A52">
        <v>51</v>
      </c>
      <c r="B52" s="69">
        <v>43191</v>
      </c>
      <c r="C52" t="s">
        <v>52</v>
      </c>
      <c r="D52" t="s">
        <v>12</v>
      </c>
      <c r="E52" t="s">
        <v>9</v>
      </c>
      <c r="F52" t="s">
        <v>76</v>
      </c>
      <c r="G52">
        <v>150</v>
      </c>
    </row>
    <row r="53" spans="1:7" x14ac:dyDescent="0.25">
      <c r="A53">
        <v>52</v>
      </c>
      <c r="B53" s="69">
        <v>43191</v>
      </c>
      <c r="C53" t="s">
        <v>53</v>
      </c>
      <c r="D53" t="s">
        <v>13</v>
      </c>
      <c r="E53" t="s">
        <v>9</v>
      </c>
      <c r="F53" t="s">
        <v>76</v>
      </c>
      <c r="G53">
        <v>2000</v>
      </c>
    </row>
    <row r="54" spans="1:7" x14ac:dyDescent="0.25">
      <c r="A54">
        <v>53</v>
      </c>
      <c r="B54" s="69">
        <v>43192</v>
      </c>
      <c r="C54" t="s">
        <v>50</v>
      </c>
      <c r="D54" t="s">
        <v>7</v>
      </c>
      <c r="E54" t="s">
        <v>9</v>
      </c>
      <c r="F54" t="s">
        <v>76</v>
      </c>
      <c r="G54">
        <v>6000</v>
      </c>
    </row>
    <row r="55" spans="1:7" x14ac:dyDescent="0.25">
      <c r="A55">
        <v>54</v>
      </c>
      <c r="B55" s="69">
        <v>43192</v>
      </c>
      <c r="C55" t="s">
        <v>51</v>
      </c>
      <c r="D55" t="s">
        <v>11</v>
      </c>
      <c r="E55" t="s">
        <v>9</v>
      </c>
      <c r="F55" t="s">
        <v>76</v>
      </c>
      <c r="G55">
        <v>2000</v>
      </c>
    </row>
    <row r="56" spans="1:7" x14ac:dyDescent="0.25">
      <c r="A56">
        <v>55</v>
      </c>
      <c r="B56" s="69">
        <v>43192</v>
      </c>
      <c r="C56" t="s">
        <v>52</v>
      </c>
      <c r="D56" t="s">
        <v>12</v>
      </c>
      <c r="E56" t="s">
        <v>9</v>
      </c>
      <c r="F56" t="s">
        <v>76</v>
      </c>
      <c r="G56">
        <v>150</v>
      </c>
    </row>
    <row r="57" spans="1:7" x14ac:dyDescent="0.25">
      <c r="A57">
        <v>56</v>
      </c>
      <c r="B57" s="69">
        <v>43192</v>
      </c>
      <c r="C57" t="s">
        <v>53</v>
      </c>
      <c r="D57" t="s">
        <v>13</v>
      </c>
      <c r="E57" t="s">
        <v>9</v>
      </c>
      <c r="F57" t="s">
        <v>76</v>
      </c>
      <c r="G57">
        <v>2000</v>
      </c>
    </row>
    <row r="58" spans="1:7" x14ac:dyDescent="0.25">
      <c r="A58">
        <v>57</v>
      </c>
      <c r="B58" s="69">
        <v>43193</v>
      </c>
      <c r="C58" t="s">
        <v>50</v>
      </c>
      <c r="D58" t="s">
        <v>7</v>
      </c>
      <c r="E58" t="s">
        <v>9</v>
      </c>
      <c r="F58" t="s">
        <v>76</v>
      </c>
      <c r="G58">
        <v>7000</v>
      </c>
    </row>
    <row r="59" spans="1:7" x14ac:dyDescent="0.25">
      <c r="A59">
        <v>58</v>
      </c>
      <c r="B59" s="69">
        <v>43193</v>
      </c>
      <c r="C59" t="s">
        <v>51</v>
      </c>
      <c r="D59" t="s">
        <v>11</v>
      </c>
      <c r="E59" t="s">
        <v>9</v>
      </c>
      <c r="F59" t="s">
        <v>76</v>
      </c>
      <c r="G59">
        <v>2000</v>
      </c>
    </row>
    <row r="60" spans="1:7" x14ac:dyDescent="0.25">
      <c r="A60">
        <v>59</v>
      </c>
      <c r="B60" s="69">
        <v>43193</v>
      </c>
      <c r="C60" t="s">
        <v>52</v>
      </c>
      <c r="D60" t="s">
        <v>12</v>
      </c>
      <c r="E60" t="s">
        <v>9</v>
      </c>
      <c r="F60" t="s">
        <v>76</v>
      </c>
      <c r="G60">
        <v>150</v>
      </c>
    </row>
    <row r="61" spans="1:7" x14ac:dyDescent="0.25">
      <c r="A61">
        <v>60</v>
      </c>
      <c r="B61" s="69">
        <v>43193</v>
      </c>
      <c r="C61" t="s">
        <v>53</v>
      </c>
      <c r="D61" t="s">
        <v>13</v>
      </c>
      <c r="E61" t="s">
        <v>9</v>
      </c>
      <c r="F61" t="s">
        <v>76</v>
      </c>
      <c r="G61">
        <v>2000</v>
      </c>
    </row>
    <row r="62" spans="1:7" x14ac:dyDescent="0.25">
      <c r="A62">
        <v>61</v>
      </c>
      <c r="B62" s="69">
        <v>43194</v>
      </c>
      <c r="C62" t="s">
        <v>50</v>
      </c>
      <c r="D62" t="s">
        <v>7</v>
      </c>
      <c r="E62" t="s">
        <v>9</v>
      </c>
      <c r="F62" t="s">
        <v>76</v>
      </c>
      <c r="G62">
        <v>3050</v>
      </c>
    </row>
    <row r="63" spans="1:7" x14ac:dyDescent="0.25">
      <c r="A63">
        <v>62</v>
      </c>
      <c r="B63" s="69">
        <v>43194</v>
      </c>
      <c r="C63" t="s">
        <v>51</v>
      </c>
      <c r="D63" t="s">
        <v>11</v>
      </c>
      <c r="E63" t="s">
        <v>9</v>
      </c>
      <c r="F63" t="s">
        <v>76</v>
      </c>
      <c r="G63">
        <v>2000</v>
      </c>
    </row>
    <row r="64" spans="1:7" x14ac:dyDescent="0.25">
      <c r="A64">
        <v>63</v>
      </c>
      <c r="B64" s="69">
        <v>43194</v>
      </c>
      <c r="C64" t="s">
        <v>52</v>
      </c>
      <c r="D64" t="s">
        <v>12</v>
      </c>
      <c r="E64" t="s">
        <v>9</v>
      </c>
      <c r="F64" t="s">
        <v>76</v>
      </c>
      <c r="G64">
        <v>150</v>
      </c>
    </row>
    <row r="65" spans="1:7" x14ac:dyDescent="0.25">
      <c r="A65">
        <v>64</v>
      </c>
      <c r="B65" s="69">
        <v>43194</v>
      </c>
      <c r="C65" t="s">
        <v>53</v>
      </c>
      <c r="D65" t="s">
        <v>13</v>
      </c>
      <c r="E65" t="s">
        <v>9</v>
      </c>
      <c r="F65" t="s">
        <v>76</v>
      </c>
      <c r="G65">
        <v>2000</v>
      </c>
    </row>
  </sheetData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GetBankData">
                <anchor moveWithCells="1" sizeWithCells="1">
                  <from>
                    <xdr:col>8</xdr:col>
                    <xdr:colOff>47625</xdr:colOff>
                    <xdr:row>4</xdr:row>
                    <xdr:rowOff>85725</xdr:rowOff>
                  </from>
                  <to>
                    <xdr:col>9</xdr:col>
                    <xdr:colOff>542925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CreatePivotTable">
                <anchor moveWithCells="1" sizeWithCells="1">
                  <from>
                    <xdr:col>8</xdr:col>
                    <xdr:colOff>66675</xdr:colOff>
                    <xdr:row>8</xdr:row>
                    <xdr:rowOff>161925</xdr:rowOff>
                  </from>
                  <to>
                    <xdr:col>9</xdr:col>
                    <xdr:colOff>533400</xdr:colOff>
                    <xdr:row>11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6" name="Button 3">
              <controlPr defaultSize="0" print="0" autoFill="0" autoPict="0" macro="[0]!ClearPivotData">
                <anchor moveWithCells="1" sizeWithCells="1">
                  <from>
                    <xdr:col>8</xdr:col>
                    <xdr:colOff>85725</xdr:colOff>
                    <xdr:row>1</xdr:row>
                    <xdr:rowOff>0</xdr:rowOff>
                  </from>
                  <to>
                    <xdr:col>9</xdr:col>
                    <xdr:colOff>390525</xdr:colOff>
                    <xdr:row>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tabColor rgb="FF7030A0"/>
  </sheetPr>
  <dimension ref="A1:E5"/>
  <sheetViews>
    <sheetView workbookViewId="0">
      <selection activeCell="E22" sqref="E22"/>
    </sheetView>
  </sheetViews>
  <sheetFormatPr defaultRowHeight="15" x14ac:dyDescent="0.25"/>
  <cols>
    <col min="1" max="1" width="14.5703125" customWidth="1"/>
    <col min="2" max="2" width="13.42578125" customWidth="1"/>
    <col min="3" max="3" width="16.140625" customWidth="1"/>
    <col min="4" max="4" width="18.42578125" customWidth="1"/>
    <col min="5" max="5" width="14.42578125" customWidth="1"/>
  </cols>
  <sheetData>
    <row r="1" spans="1:5" x14ac:dyDescent="0.25">
      <c r="A1" s="11" t="s">
        <v>14</v>
      </c>
      <c r="B1" s="11" t="s">
        <v>21</v>
      </c>
      <c r="C1" s="11" t="s">
        <v>18</v>
      </c>
      <c r="D1" s="11" t="s">
        <v>19</v>
      </c>
      <c r="E1" s="11" t="s">
        <v>20</v>
      </c>
    </row>
    <row r="2" spans="1:5" x14ac:dyDescent="0.25">
      <c r="A2" t="s">
        <v>7</v>
      </c>
      <c r="B2" t="s">
        <v>22</v>
      </c>
      <c r="C2" t="s">
        <v>26</v>
      </c>
      <c r="D2" t="s">
        <v>30</v>
      </c>
      <c r="E2" t="s">
        <v>34</v>
      </c>
    </row>
    <row r="3" spans="1:5" x14ac:dyDescent="0.25">
      <c r="A3" t="s">
        <v>11</v>
      </c>
      <c r="B3" t="s">
        <v>23</v>
      </c>
      <c r="C3" t="s">
        <v>27</v>
      </c>
      <c r="D3" t="s">
        <v>31</v>
      </c>
      <c r="E3" t="s">
        <v>35</v>
      </c>
    </row>
    <row r="4" spans="1:5" x14ac:dyDescent="0.25">
      <c r="A4" t="s">
        <v>12</v>
      </c>
      <c r="B4" t="s">
        <v>24</v>
      </c>
      <c r="C4" t="s">
        <v>28</v>
      </c>
      <c r="D4" t="s">
        <v>32</v>
      </c>
      <c r="E4" t="s">
        <v>36</v>
      </c>
    </row>
    <row r="5" spans="1:5" x14ac:dyDescent="0.25">
      <c r="A5" t="s">
        <v>13</v>
      </c>
      <c r="B5" t="s">
        <v>25</v>
      </c>
      <c r="C5" t="s">
        <v>29</v>
      </c>
      <c r="D5" t="s">
        <v>33</v>
      </c>
      <c r="E5" t="s">
        <v>37</v>
      </c>
    </row>
  </sheetData>
  <autoFilter ref="A1:E5" xr:uid="{00000000-0009-0000-0000-000006000000}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>
    <tabColor rgb="FF7030A0"/>
  </sheetPr>
  <dimension ref="A1:C2"/>
  <sheetViews>
    <sheetView tabSelected="1" workbookViewId="0">
      <selection activeCell="C3" sqref="C3"/>
    </sheetView>
  </sheetViews>
  <sheetFormatPr defaultRowHeight="15" x14ac:dyDescent="0.25"/>
  <cols>
    <col min="1" max="1" width="19.140625" bestFit="1" customWidth="1"/>
    <col min="2" max="2" width="17.28515625" customWidth="1"/>
    <col min="3" max="3" width="17" customWidth="1"/>
  </cols>
  <sheetData>
    <row r="1" spans="1:3" x14ac:dyDescent="0.25">
      <c r="A1" s="11" t="s">
        <v>54</v>
      </c>
      <c r="B1" s="11" t="s">
        <v>55</v>
      </c>
      <c r="C1" s="11" t="s">
        <v>56</v>
      </c>
    </row>
    <row r="2" spans="1:3" x14ac:dyDescent="0.25">
      <c r="A2" t="s">
        <v>9</v>
      </c>
      <c r="B2" t="s">
        <v>8</v>
      </c>
      <c r="C2">
        <v>10001</v>
      </c>
    </row>
  </sheetData>
  <autoFilter ref="A1:C2" xr:uid="{00000000-0009-0000-0000-000007000000}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Summary</vt:lpstr>
      <vt:lpstr>StoreEOD</vt:lpstr>
      <vt:lpstr>CashTakingSecurity</vt:lpstr>
      <vt:lpstr>FuelBP</vt:lpstr>
      <vt:lpstr>BankStatement</vt:lpstr>
      <vt:lpstr>PivotTable-Created using VBA</vt:lpstr>
      <vt:lpstr>CStoreCodes</vt:lpstr>
      <vt:lpstr>CFinCodes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NKistandard</dc:creator>
  <cp:lastModifiedBy>nik k</cp:lastModifiedBy>
  <dcterms:created xsi:type="dcterms:W3CDTF">2018-04-01T06:25:58Z</dcterms:created>
  <dcterms:modified xsi:type="dcterms:W3CDTF">2020-11-22T10:44:51Z</dcterms:modified>
</cp:coreProperties>
</file>